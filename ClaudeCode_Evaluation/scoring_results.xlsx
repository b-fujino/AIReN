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vscode\AIReN\ClaudeCode_Evaluation\"/>
    </mc:Choice>
  </mc:AlternateContent>
  <xr:revisionPtr revIDLastSave="0" documentId="13_ncr:1_{1C9342B4-4740-46EA-91D2-F704F4D03BB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coring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M8" i="1" l="1"/>
  <c r="N8" i="1"/>
  <c r="O8" i="1"/>
  <c r="M9" i="1"/>
  <c r="N9" i="1"/>
  <c r="O9" i="1"/>
  <c r="N7" i="1"/>
  <c r="O7" i="1"/>
  <c r="M7" i="1"/>
  <c r="I4" i="1"/>
  <c r="M4" i="1" s="1"/>
  <c r="J2" i="1"/>
  <c r="K2" i="1"/>
  <c r="O2" i="1" s="1"/>
  <c r="J3" i="1"/>
  <c r="K3" i="1"/>
  <c r="J4" i="1"/>
  <c r="N4" i="1" s="1"/>
  <c r="K4" i="1"/>
  <c r="O4" i="1" s="1"/>
  <c r="I3" i="1"/>
  <c r="M3" i="1" s="1"/>
  <c r="I2" i="1"/>
  <c r="M2" i="1" s="1"/>
  <c r="J7" i="1"/>
  <c r="K7" i="1"/>
  <c r="J8" i="1"/>
  <c r="K8" i="1"/>
  <c r="J9" i="1"/>
  <c r="K9" i="1"/>
  <c r="I9" i="1"/>
  <c r="I8" i="1"/>
  <c r="I7" i="1"/>
  <c r="N3" i="1"/>
  <c r="O3" i="1"/>
  <c r="N2" i="1"/>
  <c r="K22" i="1"/>
  <c r="J22" i="1"/>
  <c r="I22" i="1"/>
  <c r="K21" i="1"/>
  <c r="J21" i="1"/>
  <c r="I21" i="1"/>
  <c r="K20" i="1"/>
  <c r="J20" i="1"/>
  <c r="I20" i="1"/>
  <c r="J14" i="1"/>
  <c r="K14" i="1"/>
  <c r="J15" i="1"/>
  <c r="K15" i="1"/>
  <c r="J16" i="1"/>
  <c r="K16" i="1"/>
  <c r="I16" i="1"/>
  <c r="I15" i="1"/>
  <c r="I14" i="1"/>
</calcChain>
</file>

<file path=xl/sharedStrings.xml><?xml version="1.0" encoding="utf-8"?>
<sst xmlns="http://schemas.openxmlformats.org/spreadsheetml/2006/main" count="166" uniqueCount="16">
  <si>
    <t>ワード</t>
  </si>
  <si>
    <t>情報の量</t>
  </si>
  <si>
    <t>情報の質</t>
  </si>
  <si>
    <t>有用性</t>
  </si>
  <si>
    <t>AIReN</t>
  </si>
  <si>
    <t>A-G</t>
  </si>
  <si>
    <t>G-N</t>
  </si>
  <si>
    <t>N-A</t>
  </si>
  <si>
    <t>A</t>
  </si>
  <si>
    <t>G</t>
  </si>
  <si>
    <t>N</t>
  </si>
  <si>
    <t>Guided</t>
  </si>
  <si>
    <t>NoGuided</t>
  </si>
  <si>
    <t>シナリオNo.</t>
  </si>
  <si>
    <t>ターンNo.</t>
  </si>
  <si>
    <t>多重比較修正</t>
    <rPh sb="0" eb="2">
      <t>タジュウ</t>
    </rPh>
    <rPh sb="2" eb="4">
      <t>ヒカク</t>
    </rPh>
    <rPh sb="4" eb="6">
      <t>シュウセイ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</si>
</sst>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"/>
    <numFmt numFmtId="177" formatCode="0.000"/>
  </numFmts>
  <fonts count="5">
    <font>
      <sz val="10"/>
      <name val="Noto Sans CJK JP"/>
      <family val="2"/>
    </font>
    <font>
      <sz val="10"/>
      <name val="Arial"/>
      <family val="2"/>
    </font>
    <font>
      <sz val="6"/>
      <name val="ＭＳ Ｐゴシック"/>
      <family val="3"/>
      <charset val="128"/>
    </font>
    <font>
      <sz val="11"/>
      <name val="Noto Sans CJK JP"/>
      <family val="2"/>
    </font>
    <font>
      <sz val="1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76" fontId="0" fillId="0" borderId="0" xfId="0" applyNumberFormat="1"/>
    <xf numFmtId="0" fontId="1" fillId="0" borderId="0" xfId="0" applyFont="1"/>
    <xf numFmtId="177" fontId="1" fillId="0" borderId="0" xfId="0" applyNumberFormat="1" applyFont="1"/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scoring_results!$H$14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scoring_results!$I$20:$K$20</c:f>
                <c:numCache>
                  <c:formatCode>General</c:formatCode>
                  <c:ptCount val="3"/>
                  <c:pt idx="0">
                    <c:v>11.75660678215883</c:v>
                  </c:pt>
                  <c:pt idx="1">
                    <c:v>16.932743517525534</c:v>
                  </c:pt>
                  <c:pt idx="2">
                    <c:v>14.962642875447571</c:v>
                  </c:pt>
                </c:numCache>
              </c:numRef>
            </c:plus>
            <c:minus>
              <c:numRef>
                <c:f>scoring_results!$I$20:$K$20</c:f>
                <c:numCache>
                  <c:formatCode>General</c:formatCode>
                  <c:ptCount val="3"/>
                  <c:pt idx="0">
                    <c:v>11.75660678215883</c:v>
                  </c:pt>
                  <c:pt idx="1">
                    <c:v>16.932743517525534</c:v>
                  </c:pt>
                  <c:pt idx="2">
                    <c:v>14.962642875447571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scoring_results!$I$13:$K$13</c:f>
              <c:strCache>
                <c:ptCount val="3"/>
                <c:pt idx="0">
                  <c:v>情報の量</c:v>
                </c:pt>
                <c:pt idx="1">
                  <c:v>情報の質</c:v>
                </c:pt>
                <c:pt idx="2">
                  <c:v>有用性</c:v>
                </c:pt>
              </c:strCache>
            </c:strRef>
          </c:cat>
          <c:val>
            <c:numRef>
              <c:f>scoring_results!$I$14:$K$14</c:f>
              <c:numCache>
                <c:formatCode>0.000</c:formatCode>
                <c:ptCount val="3"/>
                <c:pt idx="0">
                  <c:v>71.030303030303031</c:v>
                </c:pt>
                <c:pt idx="1">
                  <c:v>77.727272727272734</c:v>
                </c:pt>
                <c:pt idx="2">
                  <c:v>63.333333333333336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D-45C6-A630-CC85F2B12C98}"/>
            </c:ext>
          </c:extLst>
        </c:ser>
        <c:ser>
          <c:idx val="1"/>
          <c:order val="1"/>
          <c:tx>
            <c:strRef>
              <c:f>scoring_results!$H$15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scoring_results!$I$21:$K$21</c:f>
                <c:numCache>
                  <c:formatCode>General</c:formatCode>
                  <c:ptCount val="3"/>
                  <c:pt idx="0">
                    <c:v>19.385885303993931</c:v>
                  </c:pt>
                  <c:pt idx="1">
                    <c:v>21.739040511322965</c:v>
                  </c:pt>
                  <c:pt idx="2">
                    <c:v>19.265940687862486</c:v>
                  </c:pt>
                </c:numCache>
              </c:numRef>
            </c:plus>
            <c:minus>
              <c:numRef>
                <c:f>scoring_results!$I$21:$K$21</c:f>
                <c:numCache>
                  <c:formatCode>General</c:formatCode>
                  <c:ptCount val="3"/>
                  <c:pt idx="0">
                    <c:v>19.385885303993931</c:v>
                  </c:pt>
                  <c:pt idx="1">
                    <c:v>21.739040511322965</c:v>
                  </c:pt>
                  <c:pt idx="2">
                    <c:v>19.265940687862486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scoring_results!$I$13:$K$13</c:f>
              <c:strCache>
                <c:ptCount val="3"/>
                <c:pt idx="0">
                  <c:v>情報の量</c:v>
                </c:pt>
                <c:pt idx="1">
                  <c:v>情報の質</c:v>
                </c:pt>
                <c:pt idx="2">
                  <c:v>有用性</c:v>
                </c:pt>
              </c:strCache>
            </c:strRef>
          </c:cat>
          <c:val>
            <c:numRef>
              <c:f>scoring_results!$I$15:$K$15</c:f>
              <c:numCache>
                <c:formatCode>0.000</c:formatCode>
                <c:ptCount val="3"/>
                <c:pt idx="0">
                  <c:v>59.843137254901961</c:v>
                </c:pt>
                <c:pt idx="1">
                  <c:v>58.019607843137258</c:v>
                </c:pt>
                <c:pt idx="2">
                  <c:v>52.549019607843135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CD-45C6-A630-CC85F2B12C98}"/>
            </c:ext>
          </c:extLst>
        </c:ser>
        <c:ser>
          <c:idx val="2"/>
          <c:order val="2"/>
          <c:tx>
            <c:strRef>
              <c:f>scoring_results!$H$16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scoring_results!$I$22:$K$22</c:f>
                <c:numCache>
                  <c:formatCode>General</c:formatCode>
                  <c:ptCount val="3"/>
                  <c:pt idx="0">
                    <c:v>14.546928586926223</c:v>
                  </c:pt>
                  <c:pt idx="1">
                    <c:v>15.521669440566701</c:v>
                  </c:pt>
                  <c:pt idx="2">
                    <c:v>18.868149636545461</c:v>
                  </c:pt>
                </c:numCache>
              </c:numRef>
            </c:plus>
            <c:minus>
              <c:numRef>
                <c:f>scoring_results!$I$22:$K$22</c:f>
                <c:numCache>
                  <c:formatCode>General</c:formatCode>
                  <c:ptCount val="3"/>
                  <c:pt idx="0">
                    <c:v>14.546928586926223</c:v>
                  </c:pt>
                  <c:pt idx="1">
                    <c:v>15.521669440566701</c:v>
                  </c:pt>
                  <c:pt idx="2">
                    <c:v>18.868149636545461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scoring_results!$I$13:$K$13</c:f>
              <c:strCache>
                <c:ptCount val="3"/>
                <c:pt idx="0">
                  <c:v>情報の量</c:v>
                </c:pt>
                <c:pt idx="1">
                  <c:v>情報の質</c:v>
                </c:pt>
                <c:pt idx="2">
                  <c:v>有用性</c:v>
                </c:pt>
              </c:strCache>
            </c:strRef>
          </c:cat>
          <c:val>
            <c:numRef>
              <c:f>scoring_results!$I$16:$K$16</c:f>
              <c:numCache>
                <c:formatCode>0.000</c:formatCode>
                <c:ptCount val="3"/>
                <c:pt idx="0">
                  <c:v>26.431372549019606</c:v>
                </c:pt>
                <c:pt idx="1">
                  <c:v>24.019607843137255</c:v>
                </c:pt>
                <c:pt idx="2">
                  <c:v>38.901960784313722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CD-45C6-A630-CC85F2B12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846799"/>
        <c:axId val="40911027"/>
      </c:barChart>
      <c:catAx>
        <c:axId val="92846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0911027"/>
        <c:crosses val="autoZero"/>
        <c:auto val="1"/>
        <c:lblAlgn val="ctr"/>
        <c:lblOffset val="100"/>
        <c:noMultiLvlLbl val="0"/>
      </c:catAx>
      <c:valAx>
        <c:axId val="409110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2846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352560</xdr:colOff>
      <xdr:row>27</xdr:row>
      <xdr:rowOff>40440</xdr:rowOff>
    </xdr:from>
    <xdr:to>
      <xdr:col>13</xdr:col>
      <xdr:colOff>315360</xdr:colOff>
      <xdr:row>45</xdr:row>
      <xdr:rowOff>92040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6"/>
  <sheetViews>
    <sheetView tabSelected="1" topLeftCell="A13" zoomScaleNormal="100" workbookViewId="0">
      <selection activeCell="M20" sqref="M20"/>
    </sheetView>
  </sheetViews>
  <sheetFormatPr defaultColWidth="11.5546875" defaultRowHeight="13.8"/>
  <cols>
    <col min="1" max="1" width="9.44140625" style="4" customWidth="1"/>
    <col min="3" max="3" width="9.77734375" customWidth="1"/>
    <col min="4" max="5" width="8.77734375" customWidth="1"/>
    <col min="6" max="6" width="7" customWidth="1"/>
    <col min="13" max="13" width="13.109375" bestFit="1" customWidth="1"/>
  </cols>
  <sheetData>
    <row r="1" spans="1:15" ht="14.4">
      <c r="A1" s="5" t="s">
        <v>0</v>
      </c>
      <c r="B1" t="s">
        <v>13</v>
      </c>
      <c r="C1" t="s">
        <v>14</v>
      </c>
      <c r="D1" t="s">
        <v>1</v>
      </c>
      <c r="E1" t="s">
        <v>2</v>
      </c>
      <c r="F1" t="s">
        <v>3</v>
      </c>
      <c r="I1" s="1" t="s">
        <v>1</v>
      </c>
      <c r="J1" s="1" t="s">
        <v>2</v>
      </c>
      <c r="K1" s="1" t="s">
        <v>3</v>
      </c>
      <c r="M1" s="1" t="s">
        <v>15</v>
      </c>
    </row>
    <row r="2" spans="1:15" ht="14.4">
      <c r="A2" s="5" t="s">
        <v>4</v>
      </c>
      <c r="B2">
        <v>1</v>
      </c>
      <c r="C2">
        <v>0</v>
      </c>
      <c r="D2">
        <v>59</v>
      </c>
      <c r="E2">
        <v>63</v>
      </c>
      <c r="F2">
        <v>52</v>
      </c>
      <c r="H2" s="2" t="s">
        <v>5</v>
      </c>
      <c r="I2" s="1">
        <f>TTEST($D$2:$D$34,$D$35:$D$85,2,3)</f>
        <v>1.2722087641897694E-6</v>
      </c>
      <c r="J2" s="1">
        <f t="shared" ref="J2:K2" si="0">TTEST(E2:E34,E35:E85,2,3)</f>
        <v>5.2207953979672144E-10</v>
      </c>
      <c r="K2" s="1">
        <f t="shared" si="0"/>
        <v>1.1420555377287991E-3</v>
      </c>
      <c r="M2">
        <f>I2*9</f>
        <v>1.1449878877707924E-5</v>
      </c>
      <c r="N2">
        <f t="shared" ref="N2:O2" si="1">J2*9</f>
        <v>4.698715858170493E-9</v>
      </c>
      <c r="O2">
        <f t="shared" si="1"/>
        <v>1.0278499839559191E-2</v>
      </c>
    </row>
    <row r="3" spans="1:15" ht="14.4">
      <c r="A3" s="5" t="s">
        <v>4</v>
      </c>
      <c r="B3">
        <v>1</v>
      </c>
      <c r="C3">
        <v>1</v>
      </c>
      <c r="D3">
        <v>69</v>
      </c>
      <c r="E3">
        <v>77</v>
      </c>
      <c r="F3">
        <v>68</v>
      </c>
      <c r="H3" s="2" t="s">
        <v>6</v>
      </c>
      <c r="I3" s="1">
        <f>TTEST($D$35:$D$85,$D$86:$D$136,2,3)</f>
        <v>5.946326893515873E-22</v>
      </c>
      <c r="J3" s="1">
        <f t="shared" ref="J3:K3" si="2">TTEST(E35:E85,E86:E136,2,3)</f>
        <v>8.4582736502702359E-19</v>
      </c>
      <c r="K3" s="1">
        <f t="shared" si="2"/>
        <v>2.5293227667458606E-4</v>
      </c>
      <c r="M3">
        <f t="shared" ref="M3:M4" si="3">I3*9</f>
        <v>5.3516942041642858E-21</v>
      </c>
      <c r="N3">
        <f t="shared" ref="N3:N4" si="4">J3*9</f>
        <v>7.612446285243212E-18</v>
      </c>
      <c r="O3">
        <f t="shared" ref="O3:O4" si="5">K3*9</f>
        <v>2.2763904900712745E-3</v>
      </c>
    </row>
    <row r="4" spans="1:15" ht="14.4">
      <c r="A4" s="5" t="s">
        <v>4</v>
      </c>
      <c r="B4">
        <v>1</v>
      </c>
      <c r="C4">
        <v>2</v>
      </c>
      <c r="D4">
        <v>68</v>
      </c>
      <c r="E4">
        <v>79</v>
      </c>
      <c r="F4">
        <v>72</v>
      </c>
      <c r="H4" s="2" t="s">
        <v>7</v>
      </c>
      <c r="I4" s="1">
        <f>TTEST(D86:D136,D2:D34,2,3)</f>
        <v>2.0729849731628123E-28</v>
      </c>
      <c r="J4" s="1">
        <f t="shared" ref="J4:K4" si="6">TTEST(E86:E136,E2:E34,2,3)</f>
        <v>1.3947564790065078E-31</v>
      </c>
      <c r="K4" s="1">
        <f t="shared" si="6"/>
        <v>5.5115931491995656E-10</v>
      </c>
      <c r="M4">
        <f t="shared" si="3"/>
        <v>1.8656864758465311E-27</v>
      </c>
      <c r="N4">
        <f t="shared" si="4"/>
        <v>1.2552808311058571E-30</v>
      </c>
      <c r="O4">
        <f t="shared" si="5"/>
        <v>4.9604338342796091E-9</v>
      </c>
    </row>
    <row r="5" spans="1:15" ht="14.4">
      <c r="A5" s="5" t="s">
        <v>4</v>
      </c>
      <c r="B5">
        <v>1</v>
      </c>
      <c r="C5">
        <v>3</v>
      </c>
      <c r="D5">
        <v>63</v>
      </c>
      <c r="E5">
        <v>67</v>
      </c>
      <c r="F5">
        <v>66</v>
      </c>
      <c r="I5" s="1"/>
      <c r="J5" s="1"/>
      <c r="K5" s="1"/>
    </row>
    <row r="6" spans="1:15" ht="14.4">
      <c r="A6" s="5" t="s">
        <v>4</v>
      </c>
      <c r="B6">
        <v>1</v>
      </c>
      <c r="C6">
        <v>4</v>
      </c>
      <c r="D6">
        <v>67</v>
      </c>
      <c r="E6">
        <v>75</v>
      </c>
      <c r="F6">
        <v>52</v>
      </c>
      <c r="I6" s="1" t="s">
        <v>1</v>
      </c>
      <c r="J6" s="1" t="s">
        <v>2</v>
      </c>
      <c r="K6" s="1" t="s">
        <v>3</v>
      </c>
    </row>
    <row r="7" spans="1:15" ht="14.4">
      <c r="A7" s="5" t="s">
        <v>4</v>
      </c>
      <c r="B7">
        <v>1</v>
      </c>
      <c r="C7">
        <v>5</v>
      </c>
      <c r="D7">
        <v>60</v>
      </c>
      <c r="E7">
        <v>69</v>
      </c>
      <c r="F7">
        <v>58</v>
      </c>
      <c r="H7" s="2" t="s">
        <v>5</v>
      </c>
      <c r="I7">
        <f>FTEST(D2:D34,D35:D85)</f>
        <v>0.25262889741861005</v>
      </c>
      <c r="J7">
        <f>FTEST(E2:E34,E35:E85)</f>
        <v>1.3691677523051993E-2</v>
      </c>
      <c r="K7">
        <f>FTEST(F2:F34,F35:F85)</f>
        <v>7.3280672468242353E-2</v>
      </c>
      <c r="M7">
        <f>I7*9</f>
        <v>2.2736600767674906</v>
      </c>
      <c r="N7">
        <f t="shared" ref="N7:O7" si="7">J7*9</f>
        <v>0.12322509770746794</v>
      </c>
      <c r="O7">
        <f t="shared" si="7"/>
        <v>0.65952605221418115</v>
      </c>
    </row>
    <row r="8" spans="1:15" ht="14.4">
      <c r="A8" s="5" t="s">
        <v>4</v>
      </c>
      <c r="B8">
        <v>1</v>
      </c>
      <c r="C8">
        <v>5</v>
      </c>
      <c r="D8">
        <v>47</v>
      </c>
      <c r="E8">
        <v>58</v>
      </c>
      <c r="F8">
        <v>31</v>
      </c>
      <c r="H8" s="2" t="s">
        <v>6</v>
      </c>
      <c r="I8">
        <f>FTEST(D35:D85,D86:D136)</f>
        <v>1.1005520966247467E-2</v>
      </c>
      <c r="J8">
        <f>FTEST(E35:E85,E86:E136)</f>
        <v>0.84081449740093483</v>
      </c>
      <c r="K8">
        <f>FTEST(F35:F85,F86:F136)</f>
        <v>0.31142672578724762</v>
      </c>
      <c r="M8">
        <f t="shared" ref="M8:M9" si="8">I8*9</f>
        <v>9.9049688696227198E-2</v>
      </c>
      <c r="N8">
        <f t="shared" ref="N8:N9" si="9">J8*9</f>
        <v>7.5673304766084133</v>
      </c>
      <c r="O8">
        <f t="shared" ref="O8:O9" si="10">K8*9</f>
        <v>2.8028405320852285</v>
      </c>
    </row>
    <row r="9" spans="1:15" ht="14.4">
      <c r="A9" s="5" t="s">
        <v>4</v>
      </c>
      <c r="B9">
        <v>1</v>
      </c>
      <c r="C9">
        <v>6</v>
      </c>
      <c r="D9">
        <v>75</v>
      </c>
      <c r="E9">
        <v>78</v>
      </c>
      <c r="F9">
        <v>55</v>
      </c>
      <c r="H9" s="2" t="s">
        <v>7</v>
      </c>
      <c r="I9">
        <f>FTEST(D86:D136,D2:D34)</f>
        <v>1.2454616913302582E-3</v>
      </c>
      <c r="J9">
        <f>FTEST(E86:E136,E2:E34)</f>
        <v>8.6517062053285548E-3</v>
      </c>
      <c r="K9">
        <f>FTEST(F86:F136,F2:F34)</f>
        <v>8.9381693024072895E-3</v>
      </c>
      <c r="M9">
        <f t="shared" si="8"/>
        <v>1.1209155221972324E-2</v>
      </c>
      <c r="N9">
        <f t="shared" si="9"/>
        <v>7.7865355847956993E-2</v>
      </c>
      <c r="O9">
        <f t="shared" si="10"/>
        <v>8.0443523721665605E-2</v>
      </c>
    </row>
    <row r="10" spans="1:15" ht="14.4">
      <c r="A10" s="5" t="s">
        <v>4</v>
      </c>
      <c r="B10">
        <v>2</v>
      </c>
      <c r="C10">
        <v>0</v>
      </c>
      <c r="D10">
        <v>62</v>
      </c>
      <c r="E10">
        <v>66</v>
      </c>
      <c r="F10">
        <v>56</v>
      </c>
    </row>
    <row r="11" spans="1:15" ht="14.4">
      <c r="A11" s="5" t="s">
        <v>4</v>
      </c>
      <c r="B11">
        <v>2</v>
      </c>
      <c r="C11">
        <v>1</v>
      </c>
      <c r="D11">
        <v>77</v>
      </c>
      <c r="E11">
        <v>74</v>
      </c>
      <c r="F11">
        <v>66</v>
      </c>
    </row>
    <row r="12" spans="1:15" ht="14.4">
      <c r="A12" s="5" t="s">
        <v>4</v>
      </c>
      <c r="B12">
        <v>2</v>
      </c>
      <c r="C12">
        <v>2</v>
      </c>
      <c r="D12">
        <v>68</v>
      </c>
      <c r="E12">
        <v>71</v>
      </c>
      <c r="F12">
        <v>56</v>
      </c>
    </row>
    <row r="13" spans="1:15" ht="14.4">
      <c r="A13" s="5" t="s">
        <v>4</v>
      </c>
      <c r="B13">
        <v>2</v>
      </c>
      <c r="C13">
        <v>3</v>
      </c>
      <c r="D13">
        <v>79</v>
      </c>
      <c r="E13">
        <v>87</v>
      </c>
      <c r="F13">
        <v>67</v>
      </c>
      <c r="I13" s="1" t="s">
        <v>1</v>
      </c>
      <c r="J13" s="1" t="s">
        <v>2</v>
      </c>
      <c r="K13" s="1" t="s">
        <v>3</v>
      </c>
    </row>
    <row r="14" spans="1:15" ht="14.4">
      <c r="A14" s="5" t="s">
        <v>4</v>
      </c>
      <c r="B14">
        <v>2</v>
      </c>
      <c r="C14">
        <v>4</v>
      </c>
      <c r="D14">
        <v>87</v>
      </c>
      <c r="E14">
        <v>97</v>
      </c>
      <c r="F14">
        <v>91</v>
      </c>
      <c r="H14" s="2" t="s">
        <v>8</v>
      </c>
      <c r="I14" s="3">
        <f>AVERAGE(D2:D34)</f>
        <v>71.030303030303031</v>
      </c>
      <c r="J14" s="3">
        <f>AVERAGE(E2:E34)</f>
        <v>77.727272727272734</v>
      </c>
      <c r="K14" s="3">
        <f>AVERAGE(F2:F34)</f>
        <v>63.333333333333336</v>
      </c>
    </row>
    <row r="15" spans="1:15" ht="14.4">
      <c r="A15" s="5" t="s">
        <v>4</v>
      </c>
      <c r="B15">
        <v>2</v>
      </c>
      <c r="C15">
        <v>5</v>
      </c>
      <c r="D15">
        <v>67</v>
      </c>
      <c r="E15">
        <v>73</v>
      </c>
      <c r="F15">
        <v>69</v>
      </c>
      <c r="H15" s="2" t="s">
        <v>9</v>
      </c>
      <c r="I15" s="3">
        <f>AVERAGE(D35:D85)</f>
        <v>59.843137254901961</v>
      </c>
      <c r="J15" s="3">
        <f>AVERAGE(E35:E85)</f>
        <v>58.019607843137258</v>
      </c>
      <c r="K15" s="3">
        <f>AVERAGE(F35:F85)</f>
        <v>52.549019607843135</v>
      </c>
    </row>
    <row r="16" spans="1:15" ht="14.4">
      <c r="A16" s="5" t="s">
        <v>4</v>
      </c>
      <c r="B16">
        <v>2</v>
      </c>
      <c r="C16">
        <v>5</v>
      </c>
      <c r="D16">
        <v>74</v>
      </c>
      <c r="E16">
        <v>72</v>
      </c>
      <c r="F16">
        <v>65</v>
      </c>
      <c r="H16" s="2" t="s">
        <v>10</v>
      </c>
      <c r="I16" s="3">
        <f>AVERAGE(D86:D136)</f>
        <v>26.431372549019606</v>
      </c>
      <c r="J16" s="3">
        <f>AVERAGE(E86:E136)</f>
        <v>24.019607843137255</v>
      </c>
      <c r="K16" s="3">
        <f>AVERAGE(F86:F136)</f>
        <v>38.901960784313722</v>
      </c>
    </row>
    <row r="17" spans="1:11" ht="14.4">
      <c r="A17" s="5" t="s">
        <v>4</v>
      </c>
      <c r="B17">
        <v>3</v>
      </c>
      <c r="C17">
        <v>0</v>
      </c>
      <c r="D17">
        <v>71</v>
      </c>
      <c r="E17">
        <v>77</v>
      </c>
      <c r="F17">
        <v>53</v>
      </c>
      <c r="I17" s="1"/>
      <c r="J17" s="1"/>
      <c r="K17" s="1"/>
    </row>
    <row r="18" spans="1:11" ht="14.4">
      <c r="A18" s="5" t="s">
        <v>4</v>
      </c>
      <c r="B18">
        <v>3</v>
      </c>
      <c r="C18">
        <v>1</v>
      </c>
      <c r="D18">
        <v>68</v>
      </c>
      <c r="E18">
        <v>78</v>
      </c>
      <c r="F18">
        <v>74</v>
      </c>
      <c r="I18" s="1"/>
      <c r="J18" s="1"/>
      <c r="K18" s="1"/>
    </row>
    <row r="19" spans="1:11" ht="14.4">
      <c r="A19" s="5" t="s">
        <v>4</v>
      </c>
      <c r="B19">
        <v>3</v>
      </c>
      <c r="C19">
        <v>2</v>
      </c>
      <c r="D19">
        <v>77</v>
      </c>
      <c r="E19">
        <v>84</v>
      </c>
      <c r="F19">
        <v>80</v>
      </c>
      <c r="I19" s="1" t="s">
        <v>1</v>
      </c>
      <c r="J19" s="1" t="s">
        <v>2</v>
      </c>
      <c r="K19" s="1" t="s">
        <v>3</v>
      </c>
    </row>
    <row r="20" spans="1:11" ht="14.4">
      <c r="A20" s="5" t="s">
        <v>4</v>
      </c>
      <c r="B20">
        <v>3</v>
      </c>
      <c r="C20">
        <v>3</v>
      </c>
      <c r="D20">
        <v>72</v>
      </c>
      <c r="E20">
        <v>76</v>
      </c>
      <c r="F20">
        <v>79</v>
      </c>
      <c r="H20" s="2" t="s">
        <v>8</v>
      </c>
      <c r="I20" s="3">
        <f>STDEV(D8:D40)</f>
        <v>11.75660678215883</v>
      </c>
      <c r="J20" s="3">
        <f>STDEV(E8:E40)</f>
        <v>16.932743517525534</v>
      </c>
      <c r="K20" s="3">
        <f>STDEV(F8:F40)</f>
        <v>14.962642875447571</v>
      </c>
    </row>
    <row r="21" spans="1:11" ht="14.4">
      <c r="A21" s="5" t="s">
        <v>4</v>
      </c>
      <c r="B21">
        <v>3</v>
      </c>
      <c r="C21">
        <v>4</v>
      </c>
      <c r="D21">
        <v>70</v>
      </c>
      <c r="E21">
        <v>84</v>
      </c>
      <c r="F21">
        <v>50</v>
      </c>
      <c r="H21" s="2" t="s">
        <v>9</v>
      </c>
      <c r="I21" s="3">
        <f>STDEV(D41:D91)</f>
        <v>19.385885303993931</v>
      </c>
      <c r="J21" s="3">
        <f>STDEV(E41:E91)</f>
        <v>21.739040511322965</v>
      </c>
      <c r="K21" s="3">
        <f>STDEV(F41:F91)</f>
        <v>19.265940687862486</v>
      </c>
    </row>
    <row r="22" spans="1:11" ht="14.4">
      <c r="A22" s="5" t="s">
        <v>4</v>
      </c>
      <c r="B22">
        <v>3</v>
      </c>
      <c r="C22">
        <v>5</v>
      </c>
      <c r="D22">
        <v>70</v>
      </c>
      <c r="E22">
        <v>77</v>
      </c>
      <c r="F22">
        <v>54</v>
      </c>
      <c r="H22" s="2" t="s">
        <v>10</v>
      </c>
      <c r="I22" s="3">
        <f>STDEV(D92:D142)</f>
        <v>14.546928586926223</v>
      </c>
      <c r="J22" s="3">
        <f>STDEV(E92:E142)</f>
        <v>15.521669440566701</v>
      </c>
      <c r="K22" s="3">
        <f>STDEV(F92:F142)</f>
        <v>18.868149636545461</v>
      </c>
    </row>
    <row r="23" spans="1:11" ht="14.4">
      <c r="A23" s="5" t="s">
        <v>4</v>
      </c>
      <c r="B23">
        <v>4</v>
      </c>
      <c r="C23">
        <v>0</v>
      </c>
      <c r="D23">
        <v>87</v>
      </c>
      <c r="E23">
        <v>100</v>
      </c>
      <c r="F23">
        <v>76</v>
      </c>
    </row>
    <row r="24" spans="1:11" ht="14.4">
      <c r="A24" s="5" t="s">
        <v>4</v>
      </c>
      <c r="B24">
        <v>4</v>
      </c>
      <c r="C24">
        <v>1</v>
      </c>
      <c r="D24">
        <v>91</v>
      </c>
      <c r="E24">
        <v>99</v>
      </c>
      <c r="F24">
        <v>83</v>
      </c>
    </row>
    <row r="25" spans="1:11" ht="14.4">
      <c r="A25" s="5" t="s">
        <v>4</v>
      </c>
      <c r="B25">
        <v>4</v>
      </c>
      <c r="C25">
        <v>2</v>
      </c>
      <c r="D25">
        <v>80</v>
      </c>
      <c r="E25">
        <v>91</v>
      </c>
      <c r="F25">
        <v>65</v>
      </c>
    </row>
    <row r="26" spans="1:11" ht="14.4">
      <c r="A26" s="5" t="s">
        <v>4</v>
      </c>
      <c r="B26">
        <v>4</v>
      </c>
      <c r="C26">
        <v>3</v>
      </c>
      <c r="D26">
        <v>78</v>
      </c>
      <c r="E26">
        <v>87</v>
      </c>
      <c r="F26">
        <v>62</v>
      </c>
    </row>
    <row r="27" spans="1:11" ht="14.4">
      <c r="A27" s="5" t="s">
        <v>4</v>
      </c>
      <c r="B27">
        <v>4</v>
      </c>
      <c r="C27">
        <v>4</v>
      </c>
      <c r="D27">
        <v>66</v>
      </c>
      <c r="E27">
        <v>70</v>
      </c>
      <c r="F27">
        <v>57</v>
      </c>
    </row>
    <row r="28" spans="1:11" ht="14.4">
      <c r="A28" s="5" t="s">
        <v>4</v>
      </c>
      <c r="B28">
        <v>4</v>
      </c>
      <c r="C28">
        <v>5</v>
      </c>
      <c r="D28">
        <v>80</v>
      </c>
      <c r="E28">
        <v>88</v>
      </c>
      <c r="F28">
        <v>85</v>
      </c>
    </row>
    <row r="29" spans="1:11" ht="14.4">
      <c r="A29" s="5" t="s">
        <v>4</v>
      </c>
      <c r="B29">
        <v>5</v>
      </c>
      <c r="C29">
        <v>0</v>
      </c>
      <c r="D29">
        <v>67</v>
      </c>
      <c r="E29">
        <v>73</v>
      </c>
      <c r="F29">
        <v>54</v>
      </c>
    </row>
    <row r="30" spans="1:11" ht="14.4">
      <c r="A30" s="5" t="s">
        <v>4</v>
      </c>
      <c r="B30">
        <v>5</v>
      </c>
      <c r="C30">
        <v>1</v>
      </c>
      <c r="D30">
        <v>70</v>
      </c>
      <c r="E30">
        <v>83</v>
      </c>
      <c r="F30">
        <v>59</v>
      </c>
    </row>
    <row r="31" spans="1:11" ht="14.4">
      <c r="A31" s="5" t="s">
        <v>4</v>
      </c>
      <c r="B31">
        <v>5</v>
      </c>
      <c r="C31">
        <v>2</v>
      </c>
      <c r="D31">
        <v>68</v>
      </c>
      <c r="E31">
        <v>80</v>
      </c>
      <c r="F31">
        <v>56</v>
      </c>
    </row>
    <row r="32" spans="1:11" ht="14.4">
      <c r="A32" s="5" t="s">
        <v>4</v>
      </c>
      <c r="B32">
        <v>5</v>
      </c>
      <c r="C32">
        <v>3</v>
      </c>
      <c r="D32">
        <v>75</v>
      </c>
      <c r="E32">
        <v>80</v>
      </c>
      <c r="F32">
        <v>70</v>
      </c>
    </row>
    <row r="33" spans="1:6" ht="14.4">
      <c r="A33" s="5" t="s">
        <v>4</v>
      </c>
      <c r="B33">
        <v>5</v>
      </c>
      <c r="C33">
        <v>4</v>
      </c>
      <c r="D33">
        <v>67</v>
      </c>
      <c r="E33">
        <v>65</v>
      </c>
      <c r="F33">
        <v>61</v>
      </c>
    </row>
    <row r="34" spans="1:6" ht="14.4">
      <c r="A34" s="5" t="s">
        <v>4</v>
      </c>
      <c r="B34">
        <v>5</v>
      </c>
      <c r="C34">
        <v>5</v>
      </c>
      <c r="D34">
        <v>65</v>
      </c>
      <c r="E34">
        <v>67</v>
      </c>
      <c r="F34">
        <v>48</v>
      </c>
    </row>
    <row r="35" spans="1:6" ht="14.4">
      <c r="A35" s="5" t="s">
        <v>11</v>
      </c>
      <c r="B35">
        <v>1</v>
      </c>
      <c r="C35">
        <v>0</v>
      </c>
      <c r="D35">
        <v>68</v>
      </c>
      <c r="E35">
        <v>69</v>
      </c>
      <c r="F35">
        <v>59</v>
      </c>
    </row>
    <row r="36" spans="1:6" ht="14.4">
      <c r="A36" s="5" t="s">
        <v>11</v>
      </c>
      <c r="B36">
        <v>1</v>
      </c>
      <c r="C36">
        <v>1</v>
      </c>
      <c r="D36">
        <v>54</v>
      </c>
      <c r="E36">
        <v>48</v>
      </c>
      <c r="F36">
        <v>57</v>
      </c>
    </row>
    <row r="37" spans="1:6" ht="14.4">
      <c r="A37" s="5" t="s">
        <v>11</v>
      </c>
      <c r="B37">
        <v>1</v>
      </c>
      <c r="C37">
        <v>2</v>
      </c>
      <c r="D37">
        <v>58</v>
      </c>
      <c r="E37">
        <v>64</v>
      </c>
      <c r="F37">
        <v>22</v>
      </c>
    </row>
    <row r="38" spans="1:6" ht="14.4">
      <c r="A38" s="5" t="s">
        <v>11</v>
      </c>
      <c r="B38">
        <v>1</v>
      </c>
      <c r="C38">
        <v>3</v>
      </c>
      <c r="D38">
        <v>58</v>
      </c>
      <c r="E38">
        <v>64</v>
      </c>
      <c r="F38">
        <v>68</v>
      </c>
    </row>
    <row r="39" spans="1:6" ht="14.4">
      <c r="A39" s="5" t="s">
        <v>11</v>
      </c>
      <c r="B39">
        <v>1</v>
      </c>
      <c r="C39">
        <v>4</v>
      </c>
      <c r="D39">
        <v>38</v>
      </c>
      <c r="E39">
        <v>18</v>
      </c>
      <c r="F39">
        <v>67</v>
      </c>
    </row>
    <row r="40" spans="1:6" ht="14.4">
      <c r="A40" s="5" t="s">
        <v>11</v>
      </c>
      <c r="B40">
        <v>1</v>
      </c>
      <c r="C40">
        <v>5</v>
      </c>
      <c r="D40">
        <v>44</v>
      </c>
      <c r="E40">
        <v>34</v>
      </c>
      <c r="F40">
        <v>33</v>
      </c>
    </row>
    <row r="41" spans="1:6" ht="14.4">
      <c r="A41" s="5" t="s">
        <v>11</v>
      </c>
      <c r="B41">
        <v>1</v>
      </c>
      <c r="C41">
        <v>6</v>
      </c>
      <c r="D41">
        <v>70</v>
      </c>
      <c r="E41">
        <v>68</v>
      </c>
      <c r="F41">
        <v>61</v>
      </c>
    </row>
    <row r="42" spans="1:6" ht="14.4">
      <c r="A42" s="5" t="s">
        <v>11</v>
      </c>
      <c r="B42">
        <v>1</v>
      </c>
      <c r="C42">
        <v>7</v>
      </c>
      <c r="D42">
        <v>72</v>
      </c>
      <c r="E42">
        <v>70</v>
      </c>
      <c r="F42">
        <v>78</v>
      </c>
    </row>
    <row r="43" spans="1:6" ht="14.4">
      <c r="A43" s="5" t="s">
        <v>11</v>
      </c>
      <c r="B43">
        <v>1</v>
      </c>
      <c r="C43">
        <v>7</v>
      </c>
      <c r="D43">
        <v>37</v>
      </c>
      <c r="E43">
        <v>33</v>
      </c>
      <c r="F43">
        <v>27</v>
      </c>
    </row>
    <row r="44" spans="1:6" ht="14.4">
      <c r="A44" s="5" t="s">
        <v>11</v>
      </c>
      <c r="B44">
        <v>1</v>
      </c>
      <c r="C44">
        <v>8</v>
      </c>
      <c r="D44">
        <v>49</v>
      </c>
      <c r="E44">
        <v>53</v>
      </c>
      <c r="F44">
        <v>51</v>
      </c>
    </row>
    <row r="45" spans="1:6" ht="14.4">
      <c r="A45" s="5" t="s">
        <v>11</v>
      </c>
      <c r="B45">
        <v>1</v>
      </c>
      <c r="C45">
        <v>9</v>
      </c>
      <c r="D45">
        <v>45</v>
      </c>
      <c r="E45">
        <v>40</v>
      </c>
      <c r="F45">
        <v>17</v>
      </c>
    </row>
    <row r="46" spans="1:6" ht="14.4">
      <c r="A46" s="5" t="s">
        <v>11</v>
      </c>
      <c r="B46">
        <v>2</v>
      </c>
      <c r="C46">
        <v>0</v>
      </c>
      <c r="D46">
        <v>63</v>
      </c>
      <c r="E46">
        <v>53</v>
      </c>
      <c r="F46">
        <v>54</v>
      </c>
    </row>
    <row r="47" spans="1:6" ht="14.4">
      <c r="A47" s="5" t="s">
        <v>11</v>
      </c>
      <c r="B47">
        <v>2</v>
      </c>
      <c r="C47">
        <v>1</v>
      </c>
      <c r="D47">
        <v>59</v>
      </c>
      <c r="E47">
        <v>67</v>
      </c>
      <c r="F47">
        <v>43</v>
      </c>
    </row>
    <row r="48" spans="1:6" ht="14.4">
      <c r="A48" s="5" t="s">
        <v>11</v>
      </c>
      <c r="B48">
        <v>2</v>
      </c>
      <c r="C48">
        <v>2</v>
      </c>
      <c r="D48">
        <v>73</v>
      </c>
      <c r="E48">
        <v>71</v>
      </c>
      <c r="F48">
        <v>70</v>
      </c>
    </row>
    <row r="49" spans="1:6" ht="14.4">
      <c r="A49" s="5" t="s">
        <v>11</v>
      </c>
      <c r="B49">
        <v>2</v>
      </c>
      <c r="C49">
        <v>3</v>
      </c>
      <c r="D49">
        <v>53</v>
      </c>
      <c r="E49">
        <v>46</v>
      </c>
      <c r="F49">
        <v>68</v>
      </c>
    </row>
    <row r="50" spans="1:6" ht="14.4">
      <c r="A50" s="5" t="s">
        <v>11</v>
      </c>
      <c r="B50">
        <v>2</v>
      </c>
      <c r="C50">
        <v>4</v>
      </c>
      <c r="D50">
        <v>60</v>
      </c>
      <c r="E50">
        <v>52</v>
      </c>
      <c r="F50">
        <v>44</v>
      </c>
    </row>
    <row r="51" spans="1:6" ht="14.4">
      <c r="A51" s="5" t="s">
        <v>11</v>
      </c>
      <c r="B51">
        <v>2</v>
      </c>
      <c r="C51">
        <v>5</v>
      </c>
      <c r="D51">
        <v>62</v>
      </c>
      <c r="E51">
        <v>59</v>
      </c>
      <c r="F51">
        <v>63</v>
      </c>
    </row>
    <row r="52" spans="1:6" ht="14.4">
      <c r="A52" s="5" t="s">
        <v>11</v>
      </c>
      <c r="B52">
        <v>2</v>
      </c>
      <c r="C52">
        <v>6</v>
      </c>
      <c r="D52">
        <v>64</v>
      </c>
      <c r="E52">
        <v>60</v>
      </c>
      <c r="F52">
        <v>45</v>
      </c>
    </row>
    <row r="53" spans="1:6" ht="14.4">
      <c r="A53" s="5" t="s">
        <v>11</v>
      </c>
      <c r="B53">
        <v>2</v>
      </c>
      <c r="C53">
        <v>7</v>
      </c>
      <c r="D53">
        <v>59</v>
      </c>
      <c r="E53">
        <v>57</v>
      </c>
      <c r="F53">
        <v>32</v>
      </c>
    </row>
    <row r="54" spans="1:6" ht="14.4">
      <c r="A54" s="5" t="s">
        <v>11</v>
      </c>
      <c r="B54">
        <v>2</v>
      </c>
      <c r="C54">
        <v>8</v>
      </c>
      <c r="D54">
        <v>54</v>
      </c>
      <c r="E54">
        <v>60</v>
      </c>
      <c r="F54">
        <v>54</v>
      </c>
    </row>
    <row r="55" spans="1:6" ht="14.4">
      <c r="A55" s="5" t="s">
        <v>11</v>
      </c>
      <c r="B55">
        <v>2</v>
      </c>
      <c r="C55">
        <v>9</v>
      </c>
      <c r="D55">
        <v>65</v>
      </c>
      <c r="E55">
        <v>66</v>
      </c>
      <c r="F55">
        <v>55</v>
      </c>
    </row>
    <row r="56" spans="1:6" ht="14.4">
      <c r="A56" s="5" t="s">
        <v>11</v>
      </c>
      <c r="B56">
        <v>3</v>
      </c>
      <c r="C56">
        <v>0</v>
      </c>
      <c r="D56">
        <v>52</v>
      </c>
      <c r="E56">
        <v>52</v>
      </c>
      <c r="F56">
        <v>33</v>
      </c>
    </row>
    <row r="57" spans="1:6" ht="14.4">
      <c r="A57" s="5" t="s">
        <v>11</v>
      </c>
      <c r="B57">
        <v>3</v>
      </c>
      <c r="C57">
        <v>1</v>
      </c>
      <c r="D57">
        <v>70</v>
      </c>
      <c r="E57">
        <v>68</v>
      </c>
      <c r="F57">
        <v>58</v>
      </c>
    </row>
    <row r="58" spans="1:6" ht="14.4">
      <c r="A58" s="5" t="s">
        <v>11</v>
      </c>
      <c r="B58">
        <v>3</v>
      </c>
      <c r="C58">
        <v>2</v>
      </c>
      <c r="D58">
        <v>43</v>
      </c>
      <c r="E58">
        <v>34</v>
      </c>
      <c r="F58">
        <v>49</v>
      </c>
    </row>
    <row r="59" spans="1:6" ht="14.4">
      <c r="A59" s="5" t="s">
        <v>11</v>
      </c>
      <c r="B59">
        <v>3</v>
      </c>
      <c r="C59">
        <v>3</v>
      </c>
      <c r="D59">
        <v>50</v>
      </c>
      <c r="E59">
        <v>37</v>
      </c>
      <c r="F59">
        <v>56</v>
      </c>
    </row>
    <row r="60" spans="1:6" ht="14.4">
      <c r="A60" s="5" t="s">
        <v>11</v>
      </c>
      <c r="B60">
        <v>3</v>
      </c>
      <c r="C60">
        <v>4</v>
      </c>
      <c r="D60">
        <v>55</v>
      </c>
      <c r="E60">
        <v>53</v>
      </c>
      <c r="F60">
        <v>31</v>
      </c>
    </row>
    <row r="61" spans="1:6" ht="14.4">
      <c r="A61" s="5" t="s">
        <v>11</v>
      </c>
      <c r="B61">
        <v>3</v>
      </c>
      <c r="C61">
        <v>5</v>
      </c>
      <c r="D61">
        <v>66</v>
      </c>
      <c r="E61">
        <v>71</v>
      </c>
      <c r="F61">
        <v>75</v>
      </c>
    </row>
    <row r="62" spans="1:6" ht="14.4">
      <c r="A62" s="5" t="s">
        <v>11</v>
      </c>
      <c r="B62">
        <v>3</v>
      </c>
      <c r="C62">
        <v>6</v>
      </c>
      <c r="D62">
        <v>51</v>
      </c>
      <c r="E62">
        <v>38</v>
      </c>
      <c r="F62">
        <v>48</v>
      </c>
    </row>
    <row r="63" spans="1:6" ht="14.4">
      <c r="A63" s="5" t="s">
        <v>11</v>
      </c>
      <c r="B63">
        <v>3</v>
      </c>
      <c r="C63">
        <v>7</v>
      </c>
      <c r="D63">
        <v>48</v>
      </c>
      <c r="E63">
        <v>43</v>
      </c>
      <c r="F63">
        <v>57</v>
      </c>
    </row>
    <row r="64" spans="1:6" ht="14.4">
      <c r="A64" s="5" t="s">
        <v>11</v>
      </c>
      <c r="B64">
        <v>3</v>
      </c>
      <c r="C64">
        <v>8</v>
      </c>
      <c r="D64">
        <v>54</v>
      </c>
      <c r="E64">
        <v>47</v>
      </c>
      <c r="F64">
        <v>48</v>
      </c>
    </row>
    <row r="65" spans="1:6" ht="14.4">
      <c r="A65" s="5" t="s">
        <v>11</v>
      </c>
      <c r="B65">
        <v>3</v>
      </c>
      <c r="C65">
        <v>9</v>
      </c>
      <c r="D65">
        <v>65</v>
      </c>
      <c r="E65">
        <v>68</v>
      </c>
      <c r="F65">
        <v>65</v>
      </c>
    </row>
    <row r="66" spans="1:6" ht="14.4">
      <c r="A66" s="5" t="s">
        <v>11</v>
      </c>
      <c r="B66">
        <v>4</v>
      </c>
      <c r="C66">
        <v>0</v>
      </c>
      <c r="D66">
        <v>79</v>
      </c>
      <c r="E66">
        <v>81</v>
      </c>
      <c r="F66">
        <v>91</v>
      </c>
    </row>
    <row r="67" spans="1:6" ht="14.4">
      <c r="A67" s="5" t="s">
        <v>11</v>
      </c>
      <c r="B67">
        <v>4</v>
      </c>
      <c r="C67">
        <v>1</v>
      </c>
      <c r="D67">
        <v>64</v>
      </c>
      <c r="E67">
        <v>64</v>
      </c>
      <c r="F67">
        <v>31</v>
      </c>
    </row>
    <row r="68" spans="1:6" ht="14.4">
      <c r="A68" s="5" t="s">
        <v>11</v>
      </c>
      <c r="B68">
        <v>4</v>
      </c>
      <c r="C68">
        <v>2</v>
      </c>
      <c r="D68">
        <v>65</v>
      </c>
      <c r="E68">
        <v>71</v>
      </c>
      <c r="F68">
        <v>59</v>
      </c>
    </row>
    <row r="69" spans="1:6" ht="14.4">
      <c r="A69" s="5" t="s">
        <v>11</v>
      </c>
      <c r="B69">
        <v>4</v>
      </c>
      <c r="C69">
        <v>3</v>
      </c>
      <c r="D69">
        <v>70</v>
      </c>
      <c r="E69">
        <v>73</v>
      </c>
      <c r="F69">
        <v>60</v>
      </c>
    </row>
    <row r="70" spans="1:6" ht="14.4">
      <c r="A70" s="5" t="s">
        <v>11</v>
      </c>
      <c r="B70">
        <v>4</v>
      </c>
      <c r="C70">
        <v>4</v>
      </c>
      <c r="D70">
        <v>72</v>
      </c>
      <c r="E70">
        <v>82</v>
      </c>
      <c r="F70">
        <v>53</v>
      </c>
    </row>
    <row r="71" spans="1:6" ht="14.4">
      <c r="A71" s="5" t="s">
        <v>11</v>
      </c>
      <c r="B71">
        <v>4</v>
      </c>
      <c r="C71">
        <v>5</v>
      </c>
      <c r="D71">
        <v>68</v>
      </c>
      <c r="E71">
        <v>70</v>
      </c>
      <c r="F71">
        <v>62</v>
      </c>
    </row>
    <row r="72" spans="1:6" ht="14.4">
      <c r="A72" s="5" t="s">
        <v>11</v>
      </c>
      <c r="B72">
        <v>4</v>
      </c>
      <c r="C72">
        <v>6</v>
      </c>
      <c r="D72">
        <v>77</v>
      </c>
      <c r="E72">
        <v>80</v>
      </c>
      <c r="F72">
        <v>92</v>
      </c>
    </row>
    <row r="73" spans="1:6" ht="14.4">
      <c r="A73" s="5" t="s">
        <v>11</v>
      </c>
      <c r="B73">
        <v>4</v>
      </c>
      <c r="C73">
        <v>7</v>
      </c>
      <c r="D73">
        <v>71</v>
      </c>
      <c r="E73">
        <v>79</v>
      </c>
      <c r="F73">
        <v>51</v>
      </c>
    </row>
    <row r="74" spans="1:6" ht="14.4">
      <c r="A74" s="5" t="s">
        <v>11</v>
      </c>
      <c r="B74">
        <v>4</v>
      </c>
      <c r="C74">
        <v>8</v>
      </c>
      <c r="D74">
        <v>56</v>
      </c>
      <c r="E74">
        <v>55</v>
      </c>
      <c r="F74">
        <v>36</v>
      </c>
    </row>
    <row r="75" spans="1:6" ht="14.4">
      <c r="A75" s="5" t="s">
        <v>11</v>
      </c>
      <c r="B75">
        <v>4</v>
      </c>
      <c r="C75">
        <v>9</v>
      </c>
      <c r="D75">
        <v>77</v>
      </c>
      <c r="E75">
        <v>80</v>
      </c>
      <c r="F75">
        <v>81</v>
      </c>
    </row>
    <row r="76" spans="1:6" ht="14.4">
      <c r="A76" s="5" t="s">
        <v>11</v>
      </c>
      <c r="B76">
        <v>5</v>
      </c>
      <c r="C76">
        <v>0</v>
      </c>
      <c r="D76">
        <v>58</v>
      </c>
      <c r="E76">
        <v>55</v>
      </c>
      <c r="F76">
        <v>36</v>
      </c>
    </row>
    <row r="77" spans="1:6" ht="14.4">
      <c r="A77" s="5" t="s">
        <v>11</v>
      </c>
      <c r="B77">
        <v>5</v>
      </c>
      <c r="C77">
        <v>1</v>
      </c>
      <c r="D77">
        <v>67</v>
      </c>
      <c r="E77">
        <v>66</v>
      </c>
      <c r="F77">
        <v>76</v>
      </c>
    </row>
    <row r="78" spans="1:6" ht="14.4">
      <c r="A78" s="5" t="s">
        <v>11</v>
      </c>
      <c r="B78">
        <v>5</v>
      </c>
      <c r="C78">
        <v>2</v>
      </c>
      <c r="D78">
        <v>53</v>
      </c>
      <c r="E78">
        <v>37</v>
      </c>
      <c r="F78">
        <v>39</v>
      </c>
    </row>
    <row r="79" spans="1:6" ht="14.4">
      <c r="A79" s="5" t="s">
        <v>11</v>
      </c>
      <c r="B79">
        <v>5</v>
      </c>
      <c r="C79">
        <v>3</v>
      </c>
      <c r="D79">
        <v>45</v>
      </c>
      <c r="E79">
        <v>38</v>
      </c>
      <c r="F79">
        <v>32</v>
      </c>
    </row>
    <row r="80" spans="1:6" ht="14.4">
      <c r="A80" s="5" t="s">
        <v>11</v>
      </c>
      <c r="B80">
        <v>5</v>
      </c>
      <c r="C80">
        <v>4</v>
      </c>
      <c r="D80">
        <v>55</v>
      </c>
      <c r="E80">
        <v>48</v>
      </c>
      <c r="F80">
        <v>43</v>
      </c>
    </row>
    <row r="81" spans="1:6" ht="14.4">
      <c r="A81" s="5" t="s">
        <v>11</v>
      </c>
      <c r="B81">
        <v>5</v>
      </c>
      <c r="C81">
        <v>5</v>
      </c>
      <c r="D81">
        <v>56</v>
      </c>
      <c r="E81">
        <v>55</v>
      </c>
      <c r="F81">
        <v>60</v>
      </c>
    </row>
    <row r="82" spans="1:6" ht="14.4">
      <c r="A82" s="5" t="s">
        <v>11</v>
      </c>
      <c r="B82">
        <v>5</v>
      </c>
      <c r="C82">
        <v>6</v>
      </c>
      <c r="D82">
        <v>68</v>
      </c>
      <c r="E82">
        <v>73</v>
      </c>
      <c r="F82">
        <v>48</v>
      </c>
    </row>
    <row r="83" spans="1:6" ht="14.4">
      <c r="A83" s="5" t="s">
        <v>11</v>
      </c>
      <c r="B83">
        <v>5</v>
      </c>
      <c r="C83">
        <v>7</v>
      </c>
      <c r="D83">
        <v>73</v>
      </c>
      <c r="E83">
        <v>80</v>
      </c>
      <c r="F83">
        <v>59</v>
      </c>
    </row>
    <row r="84" spans="1:6" ht="14.4">
      <c r="A84" s="5" t="s">
        <v>11</v>
      </c>
      <c r="B84">
        <v>5</v>
      </c>
      <c r="C84">
        <v>8</v>
      </c>
      <c r="D84">
        <v>45</v>
      </c>
      <c r="E84">
        <v>36</v>
      </c>
      <c r="F84">
        <v>36</v>
      </c>
    </row>
    <row r="85" spans="1:6" ht="14.4">
      <c r="A85" s="5" t="s">
        <v>11</v>
      </c>
      <c r="B85">
        <v>5</v>
      </c>
      <c r="C85">
        <v>9</v>
      </c>
      <c r="D85">
        <v>74</v>
      </c>
      <c r="E85">
        <v>73</v>
      </c>
      <c r="F85">
        <v>47</v>
      </c>
    </row>
    <row r="86" spans="1:6" ht="14.4">
      <c r="A86" s="5" t="s">
        <v>12</v>
      </c>
      <c r="B86">
        <v>1</v>
      </c>
      <c r="C86">
        <v>0</v>
      </c>
      <c r="D86">
        <v>0</v>
      </c>
      <c r="E86">
        <v>1</v>
      </c>
      <c r="F86">
        <v>0</v>
      </c>
    </row>
    <row r="87" spans="1:6" ht="14.4">
      <c r="A87" s="5" t="s">
        <v>12</v>
      </c>
      <c r="B87">
        <v>1</v>
      </c>
      <c r="C87">
        <v>1</v>
      </c>
      <c r="D87">
        <v>7</v>
      </c>
      <c r="E87">
        <v>6</v>
      </c>
      <c r="F87">
        <v>29</v>
      </c>
    </row>
    <row r="88" spans="1:6" ht="14.4">
      <c r="A88" s="5" t="s">
        <v>12</v>
      </c>
      <c r="B88">
        <v>1</v>
      </c>
      <c r="C88">
        <v>2</v>
      </c>
      <c r="D88">
        <v>27</v>
      </c>
      <c r="E88">
        <v>15</v>
      </c>
      <c r="F88">
        <v>43</v>
      </c>
    </row>
    <row r="89" spans="1:6" ht="14.4">
      <c r="A89" s="5" t="s">
        <v>12</v>
      </c>
      <c r="B89">
        <v>1</v>
      </c>
      <c r="C89">
        <v>3</v>
      </c>
      <c r="D89">
        <v>8</v>
      </c>
      <c r="E89">
        <v>7</v>
      </c>
      <c r="F89">
        <v>13</v>
      </c>
    </row>
    <row r="90" spans="1:6" ht="14.4">
      <c r="A90" s="5" t="s">
        <v>12</v>
      </c>
      <c r="B90">
        <v>1</v>
      </c>
      <c r="C90">
        <v>4</v>
      </c>
      <c r="D90">
        <v>0</v>
      </c>
      <c r="E90">
        <v>0</v>
      </c>
      <c r="F90">
        <v>21</v>
      </c>
    </row>
    <row r="91" spans="1:6" ht="14.4">
      <c r="A91" s="5" t="s">
        <v>12</v>
      </c>
      <c r="B91">
        <v>1</v>
      </c>
      <c r="C91">
        <v>5</v>
      </c>
      <c r="D91">
        <v>20</v>
      </c>
      <c r="E91">
        <v>18</v>
      </c>
      <c r="F91">
        <v>22</v>
      </c>
    </row>
    <row r="92" spans="1:6" ht="14.4">
      <c r="A92" s="5" t="s">
        <v>12</v>
      </c>
      <c r="B92">
        <v>1</v>
      </c>
      <c r="C92">
        <v>6</v>
      </c>
      <c r="D92">
        <v>19</v>
      </c>
      <c r="E92">
        <v>13</v>
      </c>
      <c r="F92">
        <v>45</v>
      </c>
    </row>
    <row r="93" spans="1:6" ht="14.4">
      <c r="A93" s="5" t="s">
        <v>12</v>
      </c>
      <c r="B93">
        <v>1</v>
      </c>
      <c r="C93">
        <v>7</v>
      </c>
      <c r="D93">
        <v>27</v>
      </c>
      <c r="E93">
        <v>17</v>
      </c>
      <c r="F93">
        <v>53</v>
      </c>
    </row>
    <row r="94" spans="1:6" ht="14.4">
      <c r="A94" s="5" t="s">
        <v>12</v>
      </c>
      <c r="B94">
        <v>1</v>
      </c>
      <c r="C94">
        <v>7</v>
      </c>
      <c r="D94">
        <v>19</v>
      </c>
      <c r="E94">
        <v>17</v>
      </c>
      <c r="F94">
        <v>34</v>
      </c>
    </row>
    <row r="95" spans="1:6" ht="14.4">
      <c r="A95" s="5" t="s">
        <v>12</v>
      </c>
      <c r="B95">
        <v>1</v>
      </c>
      <c r="C95">
        <v>8</v>
      </c>
      <c r="D95">
        <v>11</v>
      </c>
      <c r="E95">
        <v>2</v>
      </c>
      <c r="F95">
        <v>25</v>
      </c>
    </row>
    <row r="96" spans="1:6" ht="14.4">
      <c r="A96" s="5" t="s">
        <v>12</v>
      </c>
      <c r="B96">
        <v>1</v>
      </c>
      <c r="C96">
        <v>9</v>
      </c>
      <c r="D96">
        <v>21</v>
      </c>
      <c r="E96">
        <v>14</v>
      </c>
      <c r="F96">
        <v>44</v>
      </c>
    </row>
    <row r="97" spans="1:6" ht="14.4">
      <c r="A97" s="5" t="s">
        <v>12</v>
      </c>
      <c r="B97">
        <v>2</v>
      </c>
      <c r="C97">
        <v>0</v>
      </c>
      <c r="D97">
        <v>12</v>
      </c>
      <c r="E97">
        <v>18</v>
      </c>
      <c r="F97">
        <v>6</v>
      </c>
    </row>
    <row r="98" spans="1:6" ht="14.4">
      <c r="A98" s="5" t="s">
        <v>12</v>
      </c>
      <c r="B98">
        <v>2</v>
      </c>
      <c r="C98">
        <v>1</v>
      </c>
      <c r="D98">
        <v>29</v>
      </c>
      <c r="E98">
        <v>25</v>
      </c>
      <c r="F98">
        <v>45</v>
      </c>
    </row>
    <row r="99" spans="1:6" ht="14.4">
      <c r="A99" s="5" t="s">
        <v>12</v>
      </c>
      <c r="B99">
        <v>2</v>
      </c>
      <c r="C99">
        <v>2</v>
      </c>
      <c r="D99">
        <v>38</v>
      </c>
      <c r="E99">
        <v>30</v>
      </c>
      <c r="F99">
        <v>48</v>
      </c>
    </row>
    <row r="100" spans="1:6" ht="14.4">
      <c r="A100" s="5" t="s">
        <v>12</v>
      </c>
      <c r="B100">
        <v>2</v>
      </c>
      <c r="C100">
        <v>3</v>
      </c>
      <c r="D100">
        <v>31</v>
      </c>
      <c r="E100">
        <v>34</v>
      </c>
      <c r="F100">
        <v>46</v>
      </c>
    </row>
    <row r="101" spans="1:6" ht="14.4">
      <c r="A101" s="5" t="s">
        <v>12</v>
      </c>
      <c r="B101">
        <v>2</v>
      </c>
      <c r="C101">
        <v>4</v>
      </c>
      <c r="D101">
        <v>23</v>
      </c>
      <c r="E101">
        <v>21</v>
      </c>
      <c r="F101">
        <v>46</v>
      </c>
    </row>
    <row r="102" spans="1:6" ht="14.4">
      <c r="A102" s="5" t="s">
        <v>12</v>
      </c>
      <c r="B102">
        <v>2</v>
      </c>
      <c r="C102">
        <v>5</v>
      </c>
      <c r="D102">
        <v>50</v>
      </c>
      <c r="E102">
        <v>43</v>
      </c>
      <c r="F102">
        <v>66</v>
      </c>
    </row>
    <row r="103" spans="1:6" ht="14.4">
      <c r="A103" s="5" t="s">
        <v>12</v>
      </c>
      <c r="B103">
        <v>2</v>
      </c>
      <c r="C103">
        <v>6</v>
      </c>
      <c r="D103">
        <v>30</v>
      </c>
      <c r="E103">
        <v>35</v>
      </c>
      <c r="F103">
        <v>56</v>
      </c>
    </row>
    <row r="104" spans="1:6" ht="14.4">
      <c r="A104" s="5" t="s">
        <v>12</v>
      </c>
      <c r="B104">
        <v>2</v>
      </c>
      <c r="C104">
        <v>7</v>
      </c>
      <c r="D104">
        <v>19</v>
      </c>
      <c r="E104">
        <v>16</v>
      </c>
      <c r="F104">
        <v>18</v>
      </c>
    </row>
    <row r="105" spans="1:6" ht="14.4">
      <c r="A105" s="5" t="s">
        <v>12</v>
      </c>
      <c r="B105">
        <v>2</v>
      </c>
      <c r="C105">
        <v>8</v>
      </c>
      <c r="D105">
        <v>61</v>
      </c>
      <c r="E105">
        <v>54</v>
      </c>
      <c r="F105">
        <v>75</v>
      </c>
    </row>
    <row r="106" spans="1:6" ht="14.4">
      <c r="A106" s="5" t="s">
        <v>12</v>
      </c>
      <c r="B106">
        <v>2</v>
      </c>
      <c r="C106">
        <v>9</v>
      </c>
      <c r="D106">
        <v>25</v>
      </c>
      <c r="E106">
        <v>7</v>
      </c>
      <c r="F106">
        <v>23</v>
      </c>
    </row>
    <row r="107" spans="1:6" ht="14.4">
      <c r="A107" s="5" t="s">
        <v>12</v>
      </c>
      <c r="B107">
        <v>3</v>
      </c>
      <c r="C107">
        <v>0</v>
      </c>
      <c r="D107">
        <v>11</v>
      </c>
      <c r="E107">
        <v>12</v>
      </c>
      <c r="F107">
        <v>16</v>
      </c>
    </row>
    <row r="108" spans="1:6" ht="14.4">
      <c r="A108" s="5" t="s">
        <v>12</v>
      </c>
      <c r="B108">
        <v>3</v>
      </c>
      <c r="C108">
        <v>1</v>
      </c>
      <c r="D108">
        <v>42</v>
      </c>
      <c r="E108">
        <v>45</v>
      </c>
      <c r="F108">
        <v>54</v>
      </c>
    </row>
    <row r="109" spans="1:6" ht="14.4">
      <c r="A109" s="5" t="s">
        <v>12</v>
      </c>
      <c r="B109">
        <v>3</v>
      </c>
      <c r="C109">
        <v>2</v>
      </c>
      <c r="D109">
        <v>37</v>
      </c>
      <c r="E109">
        <v>24</v>
      </c>
      <c r="F109">
        <v>45</v>
      </c>
    </row>
    <row r="110" spans="1:6" ht="14.4">
      <c r="A110" s="5" t="s">
        <v>12</v>
      </c>
      <c r="B110">
        <v>3</v>
      </c>
      <c r="C110">
        <v>3</v>
      </c>
      <c r="D110">
        <v>6</v>
      </c>
      <c r="E110">
        <v>3</v>
      </c>
      <c r="F110">
        <v>38</v>
      </c>
    </row>
    <row r="111" spans="1:6" ht="14.4">
      <c r="A111" s="5" t="s">
        <v>12</v>
      </c>
      <c r="B111">
        <v>3</v>
      </c>
      <c r="C111">
        <v>4</v>
      </c>
      <c r="D111">
        <v>15</v>
      </c>
      <c r="E111">
        <v>17</v>
      </c>
      <c r="F111">
        <v>50</v>
      </c>
    </row>
    <row r="112" spans="1:6" ht="14.4">
      <c r="A112" s="5" t="s">
        <v>12</v>
      </c>
      <c r="B112">
        <v>3</v>
      </c>
      <c r="C112">
        <v>5</v>
      </c>
      <c r="D112">
        <v>4</v>
      </c>
      <c r="E112">
        <v>3</v>
      </c>
      <c r="F112">
        <v>19</v>
      </c>
    </row>
    <row r="113" spans="1:6" ht="14.4">
      <c r="A113" s="5" t="s">
        <v>12</v>
      </c>
      <c r="B113">
        <v>3</v>
      </c>
      <c r="C113">
        <v>6</v>
      </c>
      <c r="D113">
        <v>30</v>
      </c>
      <c r="E113">
        <v>21</v>
      </c>
      <c r="F113">
        <v>51</v>
      </c>
    </row>
    <row r="114" spans="1:6" ht="14.4">
      <c r="A114" s="5" t="s">
        <v>12</v>
      </c>
      <c r="B114">
        <v>3</v>
      </c>
      <c r="C114">
        <v>7</v>
      </c>
      <c r="D114">
        <v>25</v>
      </c>
      <c r="E114">
        <v>22</v>
      </c>
      <c r="F114">
        <v>45</v>
      </c>
    </row>
    <row r="115" spans="1:6" ht="14.4">
      <c r="A115" s="5" t="s">
        <v>12</v>
      </c>
      <c r="B115">
        <v>3</v>
      </c>
      <c r="C115">
        <v>8</v>
      </c>
      <c r="D115">
        <v>9</v>
      </c>
      <c r="E115">
        <v>5</v>
      </c>
      <c r="F115">
        <v>34</v>
      </c>
    </row>
    <row r="116" spans="1:6" ht="14.4">
      <c r="A116" s="5" t="s">
        <v>12</v>
      </c>
      <c r="B116">
        <v>3</v>
      </c>
      <c r="C116">
        <v>9</v>
      </c>
      <c r="D116">
        <v>12</v>
      </c>
      <c r="E116">
        <v>5</v>
      </c>
      <c r="F116">
        <v>25</v>
      </c>
    </row>
    <row r="117" spans="1:6" ht="14.4">
      <c r="A117" s="5" t="s">
        <v>12</v>
      </c>
      <c r="B117">
        <v>4</v>
      </c>
      <c r="C117">
        <v>0</v>
      </c>
      <c r="D117">
        <v>48</v>
      </c>
      <c r="E117">
        <v>54</v>
      </c>
      <c r="F117">
        <v>74</v>
      </c>
    </row>
    <row r="118" spans="1:6" ht="14.4">
      <c r="A118" s="5" t="s">
        <v>12</v>
      </c>
      <c r="B118">
        <v>4</v>
      </c>
      <c r="C118">
        <v>1</v>
      </c>
      <c r="D118">
        <v>40</v>
      </c>
      <c r="E118">
        <v>43</v>
      </c>
      <c r="F118">
        <v>49</v>
      </c>
    </row>
    <row r="119" spans="1:6" ht="14.4">
      <c r="A119" s="5" t="s">
        <v>12</v>
      </c>
      <c r="B119">
        <v>4</v>
      </c>
      <c r="C119">
        <v>2</v>
      </c>
      <c r="D119">
        <v>57</v>
      </c>
      <c r="E119">
        <v>57</v>
      </c>
      <c r="F119">
        <v>76</v>
      </c>
    </row>
    <row r="120" spans="1:6" ht="14.4">
      <c r="A120" s="5" t="s">
        <v>12</v>
      </c>
      <c r="B120">
        <v>4</v>
      </c>
      <c r="C120">
        <v>3</v>
      </c>
      <c r="D120">
        <v>29</v>
      </c>
      <c r="E120">
        <v>26</v>
      </c>
      <c r="F120">
        <v>34</v>
      </c>
    </row>
    <row r="121" spans="1:6" ht="14.4">
      <c r="A121" s="5" t="s">
        <v>12</v>
      </c>
      <c r="B121">
        <v>4</v>
      </c>
      <c r="C121">
        <v>4</v>
      </c>
      <c r="D121">
        <v>57</v>
      </c>
      <c r="E121">
        <v>48</v>
      </c>
      <c r="F121">
        <v>81</v>
      </c>
    </row>
    <row r="122" spans="1:6" ht="14.4">
      <c r="A122" s="5" t="s">
        <v>12</v>
      </c>
      <c r="B122">
        <v>4</v>
      </c>
      <c r="C122">
        <v>5</v>
      </c>
      <c r="D122">
        <v>45</v>
      </c>
      <c r="E122">
        <v>48</v>
      </c>
      <c r="F122">
        <v>50</v>
      </c>
    </row>
    <row r="123" spans="1:6" ht="14.4">
      <c r="A123" s="5" t="s">
        <v>12</v>
      </c>
      <c r="B123">
        <v>4</v>
      </c>
      <c r="C123">
        <v>6</v>
      </c>
      <c r="D123">
        <v>40</v>
      </c>
      <c r="E123">
        <v>30</v>
      </c>
      <c r="F123">
        <v>62</v>
      </c>
    </row>
    <row r="124" spans="1:6" ht="14.4">
      <c r="A124" s="5" t="s">
        <v>12</v>
      </c>
      <c r="B124">
        <v>4</v>
      </c>
      <c r="C124">
        <v>7</v>
      </c>
      <c r="D124">
        <v>39</v>
      </c>
      <c r="E124">
        <v>36</v>
      </c>
      <c r="F124">
        <v>40</v>
      </c>
    </row>
    <row r="125" spans="1:6" ht="14.4">
      <c r="A125" s="5" t="s">
        <v>12</v>
      </c>
      <c r="B125">
        <v>4</v>
      </c>
      <c r="C125">
        <v>8</v>
      </c>
      <c r="D125">
        <v>50</v>
      </c>
      <c r="E125">
        <v>54</v>
      </c>
      <c r="F125">
        <v>71</v>
      </c>
    </row>
    <row r="126" spans="1:6" ht="14.4">
      <c r="A126" s="5" t="s">
        <v>12</v>
      </c>
      <c r="B126">
        <v>4</v>
      </c>
      <c r="C126">
        <v>9</v>
      </c>
      <c r="D126">
        <v>50</v>
      </c>
      <c r="E126">
        <v>47</v>
      </c>
      <c r="F126">
        <v>57</v>
      </c>
    </row>
    <row r="127" spans="1:6" ht="14.4">
      <c r="A127" s="5" t="s">
        <v>12</v>
      </c>
      <c r="B127">
        <v>5</v>
      </c>
      <c r="C127">
        <v>0</v>
      </c>
      <c r="D127">
        <v>28</v>
      </c>
      <c r="E127">
        <v>24</v>
      </c>
      <c r="F127">
        <v>25</v>
      </c>
    </row>
    <row r="128" spans="1:6" ht="14.4">
      <c r="A128" s="5" t="s">
        <v>12</v>
      </c>
      <c r="B128">
        <v>5</v>
      </c>
      <c r="C128">
        <v>1</v>
      </c>
      <c r="D128">
        <v>28</v>
      </c>
      <c r="E128">
        <v>36</v>
      </c>
      <c r="F128">
        <v>43</v>
      </c>
    </row>
    <row r="129" spans="1:6" ht="14.4">
      <c r="A129" s="5" t="s">
        <v>12</v>
      </c>
      <c r="B129">
        <v>5</v>
      </c>
      <c r="C129">
        <v>2</v>
      </c>
      <c r="D129">
        <v>23</v>
      </c>
      <c r="E129">
        <v>29</v>
      </c>
      <c r="F129">
        <v>36</v>
      </c>
    </row>
    <row r="130" spans="1:6" ht="14.4">
      <c r="A130" s="5" t="s">
        <v>12</v>
      </c>
      <c r="B130">
        <v>5</v>
      </c>
      <c r="C130">
        <v>3</v>
      </c>
      <c r="D130">
        <v>13</v>
      </c>
      <c r="E130">
        <v>11</v>
      </c>
      <c r="F130">
        <v>24</v>
      </c>
    </row>
    <row r="131" spans="1:6" ht="14.4">
      <c r="A131" s="5" t="s">
        <v>12</v>
      </c>
      <c r="B131">
        <v>5</v>
      </c>
      <c r="C131">
        <v>4</v>
      </c>
      <c r="D131">
        <v>22</v>
      </c>
      <c r="E131">
        <v>25</v>
      </c>
      <c r="F131">
        <v>21</v>
      </c>
    </row>
    <row r="132" spans="1:6" ht="14.4">
      <c r="A132" s="5" t="s">
        <v>12</v>
      </c>
      <c r="B132">
        <v>5</v>
      </c>
      <c r="C132">
        <v>5</v>
      </c>
      <c r="D132">
        <v>13</v>
      </c>
      <c r="E132">
        <v>14</v>
      </c>
      <c r="F132">
        <v>7</v>
      </c>
    </row>
    <row r="133" spans="1:6" ht="14.4">
      <c r="A133" s="5" t="s">
        <v>12</v>
      </c>
      <c r="B133">
        <v>5</v>
      </c>
      <c r="C133">
        <v>6</v>
      </c>
      <c r="D133">
        <v>29</v>
      </c>
      <c r="E133">
        <v>34</v>
      </c>
      <c r="F133">
        <v>33</v>
      </c>
    </row>
    <row r="134" spans="1:6" ht="14.4">
      <c r="A134" s="5" t="s">
        <v>12</v>
      </c>
      <c r="B134">
        <v>5</v>
      </c>
      <c r="C134">
        <v>7</v>
      </c>
      <c r="D134">
        <v>24</v>
      </c>
      <c r="E134">
        <v>16</v>
      </c>
      <c r="F134">
        <v>20</v>
      </c>
    </row>
    <row r="135" spans="1:6" ht="14.4">
      <c r="A135" s="5" t="s">
        <v>12</v>
      </c>
      <c r="B135">
        <v>5</v>
      </c>
      <c r="C135">
        <v>8</v>
      </c>
      <c r="D135">
        <v>24</v>
      </c>
      <c r="E135">
        <v>29</v>
      </c>
      <c r="F135">
        <v>33</v>
      </c>
    </row>
    <row r="136" spans="1:6" ht="14.4">
      <c r="A136" s="5" t="s">
        <v>12</v>
      </c>
      <c r="B136">
        <v>5</v>
      </c>
      <c r="C136">
        <v>9</v>
      </c>
      <c r="D136">
        <v>21</v>
      </c>
      <c r="E136">
        <v>14</v>
      </c>
      <c r="F136">
        <v>13</v>
      </c>
    </row>
  </sheetData>
  <phoneticPr fontId="2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Roman,標準"&amp;12&amp;A</oddHeader>
    <oddFooter>&amp;C&amp;"Times New Roman,標準"&amp;12ページ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scoring_results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秀則 藤野</cp:lastModifiedBy>
  <dcterms:modified xsi:type="dcterms:W3CDTF">2026-06-10T08:46:46Z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dcterms:modified xsi:type="dcterms:W3CDTF">2026-06-10T06:13:09Z</dcterms:modified>
  <cp:revision>1</cp:revision>
  <dc:subject/>
  <dc:title/>
</cp:coreProperties>
</file>