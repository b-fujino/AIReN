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IReN\Result\"/>
    </mc:Choice>
  </mc:AlternateContent>
  <xr:revisionPtr revIDLastSave="0" documentId="13_ncr:1_{B1E1E592-AE42-4892-8863-39CD7E162597}" xr6:coauthVersionLast="47" xr6:coauthVersionMax="47" xr10:uidLastSave="{00000000-0000-0000-0000-000000000000}"/>
  <bookViews>
    <workbookView xWindow="-120" yWindow="-120" windowWidth="29040" windowHeight="15720" xr2:uid="{369D740E-D603-4515-9360-66D06B98302B}"/>
  </bookViews>
  <sheets>
    <sheet name="Evaluation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U2" i="1"/>
  <c r="T3" i="1"/>
  <c r="U3" i="1"/>
  <c r="T4" i="1"/>
  <c r="U4" i="1"/>
  <c r="S4" i="1"/>
  <c r="S3" i="1"/>
  <c r="S2" i="1"/>
  <c r="O4" i="1"/>
  <c r="P4" i="1"/>
  <c r="N4" i="1"/>
  <c r="O3" i="1"/>
  <c r="P3" i="1"/>
  <c r="N3" i="1"/>
  <c r="O2" i="1"/>
  <c r="P2" i="1"/>
  <c r="N2" i="1"/>
  <c r="P9" i="1"/>
  <c r="P14" i="1" s="1"/>
  <c r="O9" i="1"/>
  <c r="O14" i="1" s="1"/>
  <c r="N9" i="1"/>
  <c r="N14" i="1" s="1"/>
  <c r="P8" i="1"/>
  <c r="P13" i="1" s="1"/>
  <c r="O8" i="1"/>
  <c r="O13" i="1" s="1"/>
  <c r="N8" i="1"/>
  <c r="N13" i="1" s="1"/>
  <c r="P7" i="1"/>
  <c r="P12" i="1" s="1"/>
  <c r="O7" i="1"/>
  <c r="O12" i="1" s="1"/>
  <c r="N7" i="1"/>
  <c r="N12" i="1" s="1"/>
</calcChain>
</file>

<file path=xl/sharedStrings.xml><?xml version="1.0" encoding="utf-8"?>
<sst xmlns="http://schemas.openxmlformats.org/spreadsheetml/2006/main" count="768" uniqueCount="162">
  <si>
    <t>SCENARIO</t>
  </si>
  <si>
    <t>Ollama</t>
  </si>
  <si>
    <t>AIReN</t>
  </si>
  <si>
    <t>turn</t>
  </si>
  <si>
    <t>092841.json</t>
  </si>
  <si>
    <t>量</t>
  </si>
  <si>
    <t>質</t>
  </si>
  <si>
    <t>有用性</t>
  </si>
  <si>
    <t>標準誤差</t>
  </si>
  <si>
    <t>103956.json</t>
  </si>
  <si>
    <t>114653.json</t>
  </si>
  <si>
    <t>125137.json</t>
  </si>
  <si>
    <t>140555.json</t>
  </si>
  <si>
    <t>T検定</t>
  </si>
  <si>
    <t>151917.json</t>
  </si>
  <si>
    <t>162306.json</t>
  </si>
  <si>
    <t>172649.json</t>
  </si>
  <si>
    <t>184459.json</t>
  </si>
  <si>
    <t>195847.json</t>
  </si>
  <si>
    <t>補正</t>
  </si>
  <si>
    <t>094754.json</t>
  </si>
  <si>
    <t>105323.json</t>
  </si>
  <si>
    <t>115823.json</t>
  </si>
  <si>
    <t>130855.json</t>
  </si>
  <si>
    <t>141922.json</t>
  </si>
  <si>
    <t>153306.json</t>
  </si>
  <si>
    <t>163545.json</t>
  </si>
  <si>
    <t>173850.json</t>
  </si>
  <si>
    <t>190121.json</t>
  </si>
  <si>
    <t>201316.json</t>
  </si>
  <si>
    <t>095909.json</t>
  </si>
  <si>
    <t>110758.json</t>
  </si>
  <si>
    <t>120846.json</t>
  </si>
  <si>
    <t>132325.json</t>
  </si>
  <si>
    <t>143444.json</t>
  </si>
  <si>
    <t>154412.json</t>
  </si>
  <si>
    <t>164601.json</t>
  </si>
  <si>
    <t>175443.json</t>
  </si>
  <si>
    <t>191614.json</t>
  </si>
  <si>
    <t>202301.json</t>
  </si>
  <si>
    <t>101015.json</t>
  </si>
  <si>
    <t>112254.json</t>
  </si>
  <si>
    <t>122100.json</t>
  </si>
  <si>
    <t>133644.json</t>
  </si>
  <si>
    <t>145034.json</t>
  </si>
  <si>
    <t>155821.json</t>
  </si>
  <si>
    <t>170307.json</t>
  </si>
  <si>
    <t>181209.json</t>
  </si>
  <si>
    <t>192927.json</t>
  </si>
  <si>
    <t>204140.json</t>
  </si>
  <si>
    <t>102148.json</t>
  </si>
  <si>
    <t>113415.json</t>
  </si>
  <si>
    <t>123645.json</t>
  </si>
  <si>
    <t>134914.json</t>
  </si>
  <si>
    <t>150222.json</t>
  </si>
  <si>
    <t>160908.json</t>
  </si>
  <si>
    <t>171522.json</t>
  </si>
  <si>
    <t>182748.json</t>
  </si>
  <si>
    <t>194247.json</t>
  </si>
  <si>
    <t>205559.json</t>
  </si>
  <si>
    <t>Guided</t>
  </si>
  <si>
    <t>145850.json</t>
  </si>
  <si>
    <t>152501.json</t>
  </si>
  <si>
    <t>155051.json</t>
  </si>
  <si>
    <t>161510.json</t>
  </si>
  <si>
    <t>163742.json</t>
  </si>
  <si>
    <t>171220.json</t>
  </si>
  <si>
    <t>173814.json</t>
  </si>
  <si>
    <t>180229.json</t>
  </si>
  <si>
    <t>182819.json</t>
  </si>
  <si>
    <t>185133.json</t>
  </si>
  <si>
    <t>150452.json</t>
  </si>
  <si>
    <t>153012.json</t>
  </si>
  <si>
    <t>155529.json</t>
  </si>
  <si>
    <t>162006.json</t>
  </si>
  <si>
    <t>165201.json</t>
  </si>
  <si>
    <t>171740.json</t>
  </si>
  <si>
    <t>174419.json</t>
  </si>
  <si>
    <t>180617.json</t>
  </si>
  <si>
    <t>183235.json</t>
  </si>
  <si>
    <t>185708.json</t>
  </si>
  <si>
    <t>151154.json</t>
  </si>
  <si>
    <t>153714.json</t>
  </si>
  <si>
    <t>160134.json</t>
  </si>
  <si>
    <t>162417.json</t>
  </si>
  <si>
    <t>165734.json</t>
  </si>
  <si>
    <t>172435.json</t>
  </si>
  <si>
    <t>174901.json</t>
  </si>
  <si>
    <t>181127.json</t>
  </si>
  <si>
    <t>183743.json</t>
  </si>
  <si>
    <t>190101.json</t>
  </si>
  <si>
    <t>151543.json</t>
  </si>
  <si>
    <t>154206.json</t>
  </si>
  <si>
    <t>160521.json</t>
  </si>
  <si>
    <t>162913.json</t>
  </si>
  <si>
    <t>170123.json</t>
  </si>
  <si>
    <t>172957.json</t>
  </si>
  <si>
    <t>175301.json</t>
  </si>
  <si>
    <t>181649.json</t>
  </si>
  <si>
    <t>184227.json</t>
  </si>
  <si>
    <t>190806.json</t>
  </si>
  <si>
    <t>151956.json</t>
  </si>
  <si>
    <t>154717.json</t>
  </si>
  <si>
    <t>160905.json</t>
  </si>
  <si>
    <t>163357.json</t>
  </si>
  <si>
    <t>170614.json</t>
  </si>
  <si>
    <t>173338.json</t>
  </si>
  <si>
    <t>175708.json</t>
  </si>
  <si>
    <t>182327.json</t>
  </si>
  <si>
    <t>184718.json</t>
  </si>
  <si>
    <t>191315.json</t>
  </si>
  <si>
    <t>NoGuided</t>
  </si>
  <si>
    <t>150048.json</t>
  </si>
  <si>
    <t>152735.json</t>
  </si>
  <si>
    <t>155244.json</t>
  </si>
  <si>
    <t>161646.json</t>
  </si>
  <si>
    <t>164001.json</t>
  </si>
  <si>
    <t>171512.json</t>
  </si>
  <si>
    <t>174053.json</t>
  </si>
  <si>
    <t>180432.json</t>
  </si>
  <si>
    <t>183036.json</t>
  </si>
  <si>
    <t>185516.json</t>
  </si>
  <si>
    <t>150734.json</t>
  </si>
  <si>
    <t>153435.json</t>
  </si>
  <si>
    <t>155906.json</t>
  </si>
  <si>
    <t>162208.json</t>
  </si>
  <si>
    <t>165414.json</t>
  </si>
  <si>
    <t>172129.json</t>
  </si>
  <si>
    <t>174635.json</t>
  </si>
  <si>
    <t>180854.json</t>
  </si>
  <si>
    <t>183445.json</t>
  </si>
  <si>
    <t>185925.json</t>
  </si>
  <si>
    <t>151406.json</t>
  </si>
  <si>
    <t>153855.json</t>
  </si>
  <si>
    <t>160300.json</t>
  </si>
  <si>
    <t>162607.json</t>
  </si>
  <si>
    <t>165936.json</t>
  </si>
  <si>
    <t>172642.json</t>
  </si>
  <si>
    <t>175041.json</t>
  </si>
  <si>
    <t>181401.json</t>
  </si>
  <si>
    <t>183949.json</t>
  </si>
  <si>
    <t>190329.json</t>
  </si>
  <si>
    <t>151730.json</t>
  </si>
  <si>
    <t>154430.json</t>
  </si>
  <si>
    <t>160651.json</t>
  </si>
  <si>
    <t>163108.json</t>
  </si>
  <si>
    <t>170331.json</t>
  </si>
  <si>
    <t>173155.json</t>
  </si>
  <si>
    <t>175523.json</t>
  </si>
  <si>
    <t>181921.json</t>
  </si>
  <si>
    <t>184441.json</t>
  </si>
  <si>
    <t>191027.json</t>
  </si>
  <si>
    <t>152131.json</t>
  </si>
  <si>
    <t>154905.json</t>
  </si>
  <si>
    <t>161210.json</t>
  </si>
  <si>
    <t>163527.json</t>
  </si>
  <si>
    <t>170841.json</t>
  </si>
  <si>
    <t>173505.json</t>
  </si>
  <si>
    <t>175859.json</t>
  </si>
  <si>
    <t>182535.json</t>
  </si>
  <si>
    <t>184921.json</t>
  </si>
  <si>
    <t>191444.json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</si>
</sst>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>
      <alignment vertical="center"/>
    </xf>
    <xf numFmtId="0" fontId="2" fillId="0" borderId="0">
      <alignment vertical="center"/>
    </xf>
    <xf numFmtId="0" fontId="3" fillId="2" borderId="0">
      <alignment vertical="center"/>
    </xf>
    <xf numFmtId="0" fontId="3" fillId="3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" fillId="6" borderId="0">
      <alignment vertical="center"/>
    </xf>
    <xf numFmtId="0" fontId="5" fillId="0" borderId="0">
      <alignment vertical="center"/>
    </xf>
    <xf numFmtId="0" fontId="6" fillId="7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8" borderId="0">
      <alignment vertical="center"/>
    </xf>
    <xf numFmtId="0" fontId="12" fillId="8" borderId="1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1">
    <xf numFmtId="0" fontId="0" fillId="0" borderId="0" xfId="0">
      <alignment vertical="center"/>
    </xf>
  </cellXfs>
  <cellStyles count="20">
    <cellStyle name="Accent" xfId="1" xr:uid="{0D8D6352-427D-44A6-9FE6-55B035932DA4}"/>
    <cellStyle name="Accent 1" xfId="2" xr:uid="{471D4138-54DE-4958-B9B7-75FF2977C55A}"/>
    <cellStyle name="Accent 2" xfId="3" xr:uid="{345FA0E5-240C-4A77-A53D-E40ADB969BE9}"/>
    <cellStyle name="Accent 3" xfId="4" xr:uid="{8DF70DE3-D229-4D1F-80EB-97BFAB0DF4B2}"/>
    <cellStyle name="Bad" xfId="5" xr:uid="{2FAAF1AC-A570-4A04-911D-B018A28C2882}"/>
    <cellStyle name="Default" xfId="6" xr:uid="{09D29DAD-1516-43EE-B2A1-215F08FF8945}"/>
    <cellStyle name="Error" xfId="7" xr:uid="{151B5CB1-5C50-4E84-AEDE-E00A1611B937}"/>
    <cellStyle name="Footnote" xfId="8" xr:uid="{920A96BE-2505-4D2F-80D2-B7DE9E0B6555}"/>
    <cellStyle name="Good" xfId="9" xr:uid="{D314BC2B-703B-4823-A37A-FA6EBB3913CE}"/>
    <cellStyle name="Heading" xfId="10" xr:uid="{C5CB56D8-4980-4B3F-B163-DA59A6770ABB}"/>
    <cellStyle name="Heading 1" xfId="11" xr:uid="{80A0F886-D6EA-469A-A803-783F455D0A01}"/>
    <cellStyle name="Heading 2" xfId="12" xr:uid="{9E823E56-3237-4EA8-80F5-998A303D0615}"/>
    <cellStyle name="Hyperlink" xfId="13" xr:uid="{C6B7E0A4-9B2C-47EC-8AA1-C149A7700675}"/>
    <cellStyle name="Neutral" xfId="14" xr:uid="{FDBDDAF3-367A-4893-97B4-D2A2C36998B4}"/>
    <cellStyle name="Note" xfId="15" xr:uid="{BFE3A8EC-BD4E-4704-A98C-7A10F532ACAB}"/>
    <cellStyle name="Result" xfId="16" xr:uid="{D463B968-C053-45B6-935A-7B8053612213}"/>
    <cellStyle name="Status" xfId="17" xr:uid="{CE2D5EE7-50D6-4E7B-A5DC-B98F5CA464C0}"/>
    <cellStyle name="Text" xfId="18" xr:uid="{9E65E5B2-0D31-4BBC-A4F0-EC6620517DA0}"/>
    <cellStyle name="Warning" xfId="19" xr:uid="{0F43928F-A074-48B0-9608-9FAA0BF0870B}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Evaluation_Results!$M$2</c:f>
              <c:strCache>
                <c:ptCount val="1"/>
                <c:pt idx="0">
                  <c:v>AIReN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Evaluation_Results!$S$2:$U$4</c:f>
                <c:numCache>
                  <c:formatCode>General</c:formatCode>
                  <c:ptCount val="9"/>
                  <c:pt idx="0">
                    <c:v>3.6377274807893185</c:v>
                  </c:pt>
                  <c:pt idx="1">
                    <c:v>7.6115111535631526</c:v>
                  </c:pt>
                  <c:pt idx="2">
                    <c:v>7.1438856402392341</c:v>
                  </c:pt>
                  <c:pt idx="3">
                    <c:v>4.8280219467570076</c:v>
                  </c:pt>
                  <c:pt idx="4">
                    <c:v>7.6917395394577266</c:v>
                  </c:pt>
                  <c:pt idx="5">
                    <c:v>8.5485647440768453</c:v>
                  </c:pt>
                  <c:pt idx="6">
                    <c:v>4.1706457191046198</c:v>
                  </c:pt>
                  <c:pt idx="7">
                    <c:v>7.5761171466924786</c:v>
                  </c:pt>
                  <c:pt idx="8">
                    <c:v>7.8942241867205665</c:v>
                  </c:pt>
                </c:numCache>
              </c:numRef>
            </c:plus>
            <c:minus>
              <c:numRef>
                <c:f>Evaluation_Results!$S$2:$U$4</c:f>
                <c:numCache>
                  <c:formatCode>General</c:formatCode>
                  <c:ptCount val="9"/>
                  <c:pt idx="0">
                    <c:v>3.6377274807893185</c:v>
                  </c:pt>
                  <c:pt idx="1">
                    <c:v>7.6115111535631526</c:v>
                  </c:pt>
                  <c:pt idx="2">
                    <c:v>7.1438856402392341</c:v>
                  </c:pt>
                  <c:pt idx="3">
                    <c:v>4.8280219467570076</c:v>
                  </c:pt>
                  <c:pt idx="4">
                    <c:v>7.6917395394577266</c:v>
                  </c:pt>
                  <c:pt idx="5">
                    <c:v>8.5485647440768453</c:v>
                  </c:pt>
                  <c:pt idx="6">
                    <c:v>4.1706457191046198</c:v>
                  </c:pt>
                  <c:pt idx="7">
                    <c:v>7.5761171466924786</c:v>
                  </c:pt>
                  <c:pt idx="8">
                    <c:v>7.8942241867205665</c:v>
                  </c:pt>
                </c:numCache>
              </c:numRef>
            </c:minus>
            <c:spPr>
              <a:solidFill>
                <a:schemeClr val="tx1"/>
              </a:solidFill>
              <a:ln w="0" cap="flat" cmpd="sng" algn="ctr">
                <a:solidFill>
                  <a:srgbClr val="000000"/>
                </a:solidFill>
                <a:prstDash val="solid"/>
                <a:round/>
              </a:ln>
              <a:effectLst/>
            </c:spPr>
          </c:errBars>
          <c:cat>
            <c:strRef>
              <c:f>Evaluation_Results!$N$1:$P$1</c:f>
              <c:strCache>
                <c:ptCount val="3"/>
                <c:pt idx="0">
                  <c:v>量</c:v>
                </c:pt>
                <c:pt idx="1">
                  <c:v>質</c:v>
                </c:pt>
                <c:pt idx="2">
                  <c:v>有用性</c:v>
                </c:pt>
              </c:strCache>
            </c:strRef>
          </c:cat>
          <c:val>
            <c:numRef>
              <c:f>Evaluation_Results!$N$2:$P$2</c:f>
              <c:numCache>
                <c:formatCode>General</c:formatCode>
                <c:ptCount val="3"/>
                <c:pt idx="0">
                  <c:v>83.46</c:v>
                </c:pt>
                <c:pt idx="1">
                  <c:v>73.58</c:v>
                </c:pt>
                <c:pt idx="2">
                  <c:v>78.44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3-4DF9-A313-F8BB45274B1E}"/>
            </c:ext>
          </c:extLst>
        </c:ser>
        <c:ser>
          <c:idx val="1"/>
          <c:order val="1"/>
          <c:tx>
            <c:strRef>
              <c:f>Evaluation_Results!$M$3</c:f>
              <c:strCache>
                <c:ptCount val="1"/>
                <c:pt idx="0">
                  <c:v>Guided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Evaluation_Results!$S$3:$U$3</c:f>
                <c:numCache>
                  <c:formatCode>General</c:formatCode>
                  <c:ptCount val="3"/>
                  <c:pt idx="0">
                    <c:v>7.6115111535631526</c:v>
                  </c:pt>
                  <c:pt idx="1">
                    <c:v>7.6917395394577266</c:v>
                  </c:pt>
                  <c:pt idx="2">
                    <c:v>7.5761171466924786</c:v>
                  </c:pt>
                </c:numCache>
              </c:numRef>
            </c:plus>
            <c:minus>
              <c:numRef>
                <c:f>Evaluation_Results!$S$3:$U$3</c:f>
                <c:numCache>
                  <c:formatCode>General</c:formatCode>
                  <c:ptCount val="3"/>
                  <c:pt idx="0">
                    <c:v>7.6115111535631526</c:v>
                  </c:pt>
                  <c:pt idx="1">
                    <c:v>7.6917395394577266</c:v>
                  </c:pt>
                  <c:pt idx="2">
                    <c:v>7.5761171466924786</c:v>
                  </c:pt>
                </c:numCache>
              </c:numRef>
            </c:minus>
            <c:spPr>
              <a:solidFill>
                <a:schemeClr val="tx1"/>
              </a:solidFill>
              <a:ln w="0" cap="flat" cmpd="sng" algn="ctr">
                <a:solidFill>
                  <a:srgbClr val="000000"/>
                </a:solidFill>
                <a:prstDash val="solid"/>
                <a:round/>
              </a:ln>
              <a:effectLst/>
            </c:spPr>
          </c:errBars>
          <c:cat>
            <c:strRef>
              <c:f>Evaluation_Results!$N$1:$P$1</c:f>
              <c:strCache>
                <c:ptCount val="3"/>
                <c:pt idx="0">
                  <c:v>量</c:v>
                </c:pt>
                <c:pt idx="1">
                  <c:v>質</c:v>
                </c:pt>
                <c:pt idx="2">
                  <c:v>有用性</c:v>
                </c:pt>
              </c:strCache>
            </c:strRef>
          </c:cat>
          <c:val>
            <c:numRef>
              <c:f>Evaluation_Results!$N$3:$P$3</c:f>
              <c:numCache>
                <c:formatCode>General</c:formatCode>
                <c:ptCount val="3"/>
                <c:pt idx="0">
                  <c:v>79.94</c:v>
                </c:pt>
                <c:pt idx="1">
                  <c:v>70.02</c:v>
                </c:pt>
                <c:pt idx="2">
                  <c:v>74.52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3-4DF9-A313-F8BB45274B1E}"/>
            </c:ext>
          </c:extLst>
        </c:ser>
        <c:ser>
          <c:idx val="2"/>
          <c:order val="2"/>
          <c:tx>
            <c:strRef>
              <c:f>Evaluation_Results!$M$4</c:f>
              <c:strCache>
                <c:ptCount val="1"/>
                <c:pt idx="0">
                  <c:v>NoGuided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Evaluation_Results!$S$4:$U$4</c:f>
                <c:numCache>
                  <c:formatCode>General</c:formatCode>
                  <c:ptCount val="3"/>
                  <c:pt idx="0">
                    <c:v>7.1438856402392341</c:v>
                  </c:pt>
                  <c:pt idx="1">
                    <c:v>8.5485647440768453</c:v>
                  </c:pt>
                  <c:pt idx="2">
                    <c:v>7.8942241867205665</c:v>
                  </c:pt>
                </c:numCache>
              </c:numRef>
            </c:plus>
            <c:minus>
              <c:numRef>
                <c:f>Evaluation_Results!$S$4:$U$4</c:f>
                <c:numCache>
                  <c:formatCode>General</c:formatCode>
                  <c:ptCount val="3"/>
                  <c:pt idx="0">
                    <c:v>7.1438856402392341</c:v>
                  </c:pt>
                  <c:pt idx="1">
                    <c:v>8.5485647440768453</c:v>
                  </c:pt>
                  <c:pt idx="2">
                    <c:v>7.8942241867205665</c:v>
                  </c:pt>
                </c:numCache>
              </c:numRef>
            </c:minus>
            <c:spPr>
              <a:solidFill>
                <a:schemeClr val="tx1"/>
              </a:solidFill>
              <a:ln w="0" cap="flat" cmpd="sng" algn="ctr">
                <a:solidFill>
                  <a:srgbClr val="000000"/>
                </a:solidFill>
                <a:prstDash val="solid"/>
                <a:round/>
              </a:ln>
              <a:effectLst/>
            </c:spPr>
          </c:errBars>
          <c:cat>
            <c:strRef>
              <c:f>Evaluation_Results!$N$1:$P$1</c:f>
              <c:strCache>
                <c:ptCount val="3"/>
                <c:pt idx="0">
                  <c:v>量</c:v>
                </c:pt>
                <c:pt idx="1">
                  <c:v>質</c:v>
                </c:pt>
                <c:pt idx="2">
                  <c:v>有用性</c:v>
                </c:pt>
              </c:strCache>
            </c:strRef>
          </c:cat>
          <c:val>
            <c:numRef>
              <c:f>Evaluation_Results!$N$4:$P$4</c:f>
              <c:numCache>
                <c:formatCode>General</c:formatCode>
                <c:ptCount val="3"/>
                <c:pt idx="0">
                  <c:v>77.84</c:v>
                </c:pt>
                <c:pt idx="1">
                  <c:v>67.94</c:v>
                </c:pt>
                <c:pt idx="2">
                  <c:v>72.260000000000005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03-4DF9-A313-F8BB45274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222639"/>
        <c:axId val="1550226959"/>
      </c:barChart>
      <c:valAx>
        <c:axId val="1550226959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B3B3B3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50222639"/>
        <c:crossesAt val="0"/>
        <c:crossBetween val="between"/>
      </c:valAx>
      <c:catAx>
        <c:axId val="15502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50226959"/>
        <c:crossesAt val="0"/>
        <c:auto val="1"/>
        <c:lblAlgn val="ctr"/>
        <c:lblOffset val="100"/>
        <c:noMultiLvlLbl val="0"/>
      </c:catAx>
      <c:spPr>
        <a:noFill/>
        <a:ln>
          <a:solidFill>
            <a:srgbClr val="B3B3B3"/>
          </a:solidFill>
          <a:prstDash val="soli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noFill/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080405" y="2744070"/>
    <xdr:ext cx="5761800" cy="324144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3377B46-B8DA-71D2-6804-3EFC096D6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C1417-C0C8-4D32-B1B4-A6A65DD607C6}" name="__Anonymous_Sheet_DB__0" displayName="__Anonymous_Sheet_DB__0" ref="A1:M1048576" headerRowCount="0" totalsRowShown="0">
  <sortState xmlns:xlrd2="http://schemas.microsoft.com/office/spreadsheetml/2017/richdata2" ref="A1:K1048576">
    <sortCondition ref="D1:D1048576"/>
  </sortState>
  <tableColumns count="13">
    <tableColumn id="1" xr3:uid="{6EF1F86F-71C6-4361-9CC4-9147C26C7271}" name="列1"/>
    <tableColumn id="2" xr3:uid="{C3C463CF-0AA1-4AC6-995E-FB9A049862B5}" name="列2"/>
    <tableColumn id="3" xr3:uid="{C64727D4-6A41-47C6-844C-CFD3B35F6311}" name="列3"/>
    <tableColumn id="4" xr3:uid="{6F5F580C-0CC0-4C72-9E4E-8C6A413929C5}" name="列4"/>
    <tableColumn id="5" xr3:uid="{DFF0E2F4-EE3A-4D42-99FD-5F9E3F625882}" name="列5"/>
    <tableColumn id="6" xr3:uid="{AD18CBE9-45C7-43A1-9C9C-E473AB56C720}" name="列6"/>
    <tableColumn id="7" xr3:uid="{8F951D1D-7518-4C36-9DD4-DA2FA3542905}" name="列7"/>
    <tableColumn id="8" xr3:uid="{B8D4193F-106B-408A-96C3-A17762C6EB20}" name="列8"/>
    <tableColumn id="9" xr3:uid="{94F98FE7-C03C-4632-884D-A6E628419336}" name="列9"/>
    <tableColumn id="10" xr3:uid="{11A715A2-0699-4F19-ADCB-EAEFD876DBF8}" name="列10"/>
    <tableColumn id="11" xr3:uid="{E817D44F-C71E-4484-8AB5-F58612368B01}" name="列11"/>
    <tableColumn id="13" xr3:uid="{23AF14A9-3F14-4875-AA69-4CC176D670CD}" name="列13"/>
    <tableColumn id="12" xr3:uid="{E998E740-CF4E-436E-A299-0301B3DB4DC8}" name="列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4565-FF65-475A-8A79-938D4A30C81E}">
  <dimension ref="A1:U150"/>
  <sheetViews>
    <sheetView tabSelected="1" workbookViewId="0">
      <selection activeCell="V33" sqref="V33"/>
    </sheetView>
  </sheetViews>
  <sheetFormatPr defaultRowHeight="12.75"/>
  <cols>
    <col min="1" max="1" width="11.7109375" customWidth="1"/>
    <col min="2" max="2" width="3.7109375" customWidth="1"/>
    <col min="3" max="3" width="7.7109375" customWidth="1"/>
    <col min="4" max="4" width="10" customWidth="1"/>
    <col min="5" max="5" width="12.140625" customWidth="1"/>
    <col min="6" max="6" width="4.85546875" customWidth="1"/>
    <col min="7" max="8" width="12.140625" customWidth="1"/>
    <col min="13" max="13" width="12.140625" customWidth="1"/>
    <col min="14" max="16" width="7.28515625" customWidth="1"/>
    <col min="17" max="20" width="12.140625" customWidth="1"/>
  </cols>
  <sheetData>
    <row r="1" spans="1:21">
      <c r="A1" t="s">
        <v>0</v>
      </c>
      <c r="B1">
        <v>1</v>
      </c>
      <c r="C1" t="s">
        <v>1</v>
      </c>
      <c r="D1" t="s">
        <v>2</v>
      </c>
      <c r="E1" t="s">
        <v>3</v>
      </c>
      <c r="F1">
        <v>0</v>
      </c>
      <c r="G1">
        <v>20260226</v>
      </c>
      <c r="H1" t="s">
        <v>4</v>
      </c>
      <c r="I1">
        <v>85</v>
      </c>
      <c r="J1">
        <v>78</v>
      </c>
      <c r="K1">
        <v>80</v>
      </c>
      <c r="N1" t="s">
        <v>5</v>
      </c>
      <c r="O1" t="s">
        <v>6</v>
      </c>
      <c r="P1" t="s">
        <v>7</v>
      </c>
      <c r="S1" t="s">
        <v>8</v>
      </c>
    </row>
    <row r="2" spans="1:21">
      <c r="A2" t="s">
        <v>0</v>
      </c>
      <c r="B2">
        <v>1</v>
      </c>
      <c r="C2" t="s">
        <v>1</v>
      </c>
      <c r="D2" t="s">
        <v>2</v>
      </c>
      <c r="E2" t="s">
        <v>3</v>
      </c>
      <c r="F2">
        <v>1</v>
      </c>
      <c r="G2">
        <v>20260226</v>
      </c>
      <c r="H2" t="s">
        <v>9</v>
      </c>
      <c r="I2">
        <v>85</v>
      </c>
      <c r="J2">
        <v>65</v>
      </c>
      <c r="K2">
        <v>70</v>
      </c>
      <c r="M2" t="s">
        <v>2</v>
      </c>
      <c r="N2">
        <f>AVERAGE(I1:I50)</f>
        <v>83.46</v>
      </c>
      <c r="O2">
        <f>AVERAGE(J1:J50)</f>
        <v>73.58</v>
      </c>
      <c r="P2">
        <f>AVERAGE(K1:K50)</f>
        <v>78.44</v>
      </c>
      <c r="R2" t="s">
        <v>2</v>
      </c>
      <c r="S2">
        <f>_xlfn.STDEV.S(I1:I50)</f>
        <v>3.6377274807893185</v>
      </c>
      <c r="T2">
        <f>_xlfn.STDEV.S(J1:J50)</f>
        <v>4.8280219467570076</v>
      </c>
      <c r="U2">
        <f>_xlfn.STDEV.S(K1:K50)</f>
        <v>4.1706457191046198</v>
      </c>
    </row>
    <row r="3" spans="1:21">
      <c r="A3" t="s">
        <v>0</v>
      </c>
      <c r="B3">
        <v>1</v>
      </c>
      <c r="C3" t="s">
        <v>1</v>
      </c>
      <c r="D3" t="s">
        <v>2</v>
      </c>
      <c r="E3" t="s">
        <v>3</v>
      </c>
      <c r="F3">
        <v>2</v>
      </c>
      <c r="G3">
        <v>20260226</v>
      </c>
      <c r="H3" t="s">
        <v>10</v>
      </c>
      <c r="I3">
        <v>85</v>
      </c>
      <c r="J3">
        <v>70</v>
      </c>
      <c r="K3">
        <v>80</v>
      </c>
      <c r="M3" t="s">
        <v>60</v>
      </c>
      <c r="N3">
        <f>AVERAGE(I51:I100)</f>
        <v>79.94</v>
      </c>
      <c r="O3">
        <f>AVERAGE(J51:J100)</f>
        <v>70.02</v>
      </c>
      <c r="P3">
        <f>AVERAGE(K51:K100)</f>
        <v>74.52</v>
      </c>
      <c r="R3" t="s">
        <v>60</v>
      </c>
      <c r="S3">
        <f>_xlfn.STDEV.S(I51:I100)</f>
        <v>7.6115111535631526</v>
      </c>
      <c r="T3">
        <f>_xlfn.STDEV.S(J51:J100)</f>
        <v>7.6917395394577266</v>
      </c>
      <c r="U3">
        <f>_xlfn.STDEV.S(K51:K100)</f>
        <v>7.5761171466924786</v>
      </c>
    </row>
    <row r="4" spans="1:21">
      <c r="A4" t="s">
        <v>0</v>
      </c>
      <c r="B4">
        <v>1</v>
      </c>
      <c r="C4" t="s">
        <v>1</v>
      </c>
      <c r="D4" t="s">
        <v>2</v>
      </c>
      <c r="E4" t="s">
        <v>3</v>
      </c>
      <c r="F4">
        <v>3</v>
      </c>
      <c r="G4">
        <v>20260226</v>
      </c>
      <c r="H4" t="s">
        <v>11</v>
      </c>
      <c r="I4">
        <v>85</v>
      </c>
      <c r="J4">
        <v>75</v>
      </c>
      <c r="K4">
        <v>80</v>
      </c>
      <c r="M4" t="s">
        <v>111</v>
      </c>
      <c r="N4">
        <f>AVERAGE(I101:I151)</f>
        <v>77.84</v>
      </c>
      <c r="O4">
        <f>AVERAGE(J101:J151)</f>
        <v>67.94</v>
      </c>
      <c r="P4">
        <f>AVERAGE(K101:K151)</f>
        <v>72.260000000000005</v>
      </c>
      <c r="R4" t="s">
        <v>111</v>
      </c>
      <c r="S4">
        <f>_xlfn.STDEV.S(I101:I150)</f>
        <v>7.1438856402392341</v>
      </c>
      <c r="T4">
        <f>_xlfn.STDEV.S(J101:J150)</f>
        <v>8.5485647440768453</v>
      </c>
      <c r="U4">
        <f>_xlfn.STDEV.S(K101:K150)</f>
        <v>7.8942241867205665</v>
      </c>
    </row>
    <row r="5" spans="1:21">
      <c r="A5" t="s">
        <v>0</v>
      </c>
      <c r="B5">
        <v>1</v>
      </c>
      <c r="C5" t="s">
        <v>1</v>
      </c>
      <c r="D5" t="s">
        <v>2</v>
      </c>
      <c r="E5" t="s">
        <v>3</v>
      </c>
      <c r="F5">
        <v>4</v>
      </c>
      <c r="G5">
        <v>20260226</v>
      </c>
      <c r="H5" t="s">
        <v>12</v>
      </c>
      <c r="I5">
        <v>85</v>
      </c>
      <c r="J5">
        <v>75</v>
      </c>
      <c r="K5">
        <v>80</v>
      </c>
    </row>
    <row r="6" spans="1:21">
      <c r="A6" t="s">
        <v>0</v>
      </c>
      <c r="B6">
        <v>1</v>
      </c>
      <c r="C6" t="s">
        <v>1</v>
      </c>
      <c r="D6" t="s">
        <v>2</v>
      </c>
      <c r="E6" t="s">
        <v>3</v>
      </c>
      <c r="F6">
        <v>5</v>
      </c>
      <c r="G6">
        <v>20260226</v>
      </c>
      <c r="H6" t="s">
        <v>14</v>
      </c>
      <c r="I6">
        <v>85</v>
      </c>
      <c r="J6">
        <v>78</v>
      </c>
      <c r="K6">
        <v>80</v>
      </c>
      <c r="N6" t="s">
        <v>13</v>
      </c>
    </row>
    <row r="7" spans="1:21">
      <c r="A7" t="s">
        <v>0</v>
      </c>
      <c r="B7">
        <v>1</v>
      </c>
      <c r="C7" t="s">
        <v>1</v>
      </c>
      <c r="D7" t="s">
        <v>2</v>
      </c>
      <c r="E7" t="s">
        <v>3</v>
      </c>
      <c r="F7">
        <v>6</v>
      </c>
      <c r="G7">
        <v>20260226</v>
      </c>
      <c r="H7" t="s">
        <v>15</v>
      </c>
      <c r="I7">
        <v>85</v>
      </c>
      <c r="J7">
        <v>70</v>
      </c>
      <c r="K7">
        <v>75</v>
      </c>
      <c r="M7" t="s">
        <v>2</v>
      </c>
      <c r="N7">
        <f>TTEST(I1:I50,I51:I100,2,3)</f>
        <v>4.3084681724942907E-3</v>
      </c>
      <c r="O7">
        <f>TTEST(J1:J50,J51:J100,2,3)</f>
        <v>6.8874162285870975E-3</v>
      </c>
      <c r="P7">
        <f>TTEST(K1:K50,K51:K100,2,3)</f>
        <v>1.9729594277639083E-3</v>
      </c>
    </row>
    <row r="8" spans="1:21">
      <c r="A8" t="s">
        <v>0</v>
      </c>
      <c r="B8">
        <v>1</v>
      </c>
      <c r="C8" t="s">
        <v>1</v>
      </c>
      <c r="D8" t="s">
        <v>2</v>
      </c>
      <c r="E8" t="s">
        <v>3</v>
      </c>
      <c r="F8">
        <v>7</v>
      </c>
      <c r="G8">
        <v>20260226</v>
      </c>
      <c r="H8" t="s">
        <v>16</v>
      </c>
      <c r="I8">
        <v>88</v>
      </c>
      <c r="J8">
        <v>82</v>
      </c>
      <c r="K8">
        <v>85</v>
      </c>
      <c r="M8" t="s">
        <v>60</v>
      </c>
      <c r="N8">
        <f>TTEST(I1:I50,I101:I150,2,3)</f>
        <v>4.5187239388002833E-6</v>
      </c>
      <c r="O8">
        <f>TTEST(J1:J50,J101:J150,2,3)</f>
        <v>1.1563990671946815E-4</v>
      </c>
      <c r="P8">
        <f>TTEST(K1:K50,K101:K150,2,3)</f>
        <v>5.5679950312015085E-6</v>
      </c>
    </row>
    <row r="9" spans="1:21">
      <c r="A9" t="s">
        <v>0</v>
      </c>
      <c r="B9">
        <v>1</v>
      </c>
      <c r="C9" t="s">
        <v>1</v>
      </c>
      <c r="D9" t="s">
        <v>2</v>
      </c>
      <c r="E9" t="s">
        <v>3</v>
      </c>
      <c r="F9">
        <v>8</v>
      </c>
      <c r="G9">
        <v>20260226</v>
      </c>
      <c r="H9" t="s">
        <v>17</v>
      </c>
      <c r="I9">
        <v>80</v>
      </c>
      <c r="J9">
        <v>70</v>
      </c>
      <c r="K9">
        <v>75</v>
      </c>
      <c r="M9" t="s">
        <v>111</v>
      </c>
      <c r="N9">
        <f>TTEST(I51:I100,I101:I150,2,3)</f>
        <v>0.15807087140316284</v>
      </c>
      <c r="O9">
        <f>TTEST(J51:J100,J101:J150,2,3)</f>
        <v>0.20395581305099536</v>
      </c>
      <c r="P9">
        <f>TTEST(K51:K100,K101:K150,2,3)</f>
        <v>0.14734271704458199</v>
      </c>
    </row>
    <row r="10" spans="1:21">
      <c r="A10" t="s">
        <v>0</v>
      </c>
      <c r="B10">
        <v>1</v>
      </c>
      <c r="C10" t="s">
        <v>1</v>
      </c>
      <c r="D10" t="s">
        <v>2</v>
      </c>
      <c r="E10" t="s">
        <v>3</v>
      </c>
      <c r="F10">
        <v>9</v>
      </c>
      <c r="G10">
        <v>20260226</v>
      </c>
      <c r="H10" t="s">
        <v>18</v>
      </c>
      <c r="I10">
        <v>80</v>
      </c>
      <c r="J10">
        <v>75</v>
      </c>
      <c r="K10">
        <v>78</v>
      </c>
    </row>
    <row r="11" spans="1:21">
      <c r="A11" t="s">
        <v>0</v>
      </c>
      <c r="B11">
        <v>2</v>
      </c>
      <c r="C11" t="s">
        <v>1</v>
      </c>
      <c r="D11" t="s">
        <v>2</v>
      </c>
      <c r="E11" t="s">
        <v>3</v>
      </c>
      <c r="F11">
        <v>0</v>
      </c>
      <c r="G11">
        <v>20260226</v>
      </c>
      <c r="H11" t="s">
        <v>20</v>
      </c>
      <c r="I11">
        <v>85</v>
      </c>
      <c r="J11">
        <v>83</v>
      </c>
      <c r="K11">
        <v>88</v>
      </c>
      <c r="N11" t="s">
        <v>19</v>
      </c>
    </row>
    <row r="12" spans="1:21">
      <c r="A12" t="s">
        <v>0</v>
      </c>
      <c r="B12">
        <v>2</v>
      </c>
      <c r="C12" t="s">
        <v>1</v>
      </c>
      <c r="D12" t="s">
        <v>2</v>
      </c>
      <c r="E12" t="s">
        <v>3</v>
      </c>
      <c r="F12">
        <v>1</v>
      </c>
      <c r="G12">
        <v>20260226</v>
      </c>
      <c r="H12" t="s">
        <v>21</v>
      </c>
      <c r="I12">
        <v>85</v>
      </c>
      <c r="J12">
        <v>75</v>
      </c>
      <c r="K12">
        <v>80</v>
      </c>
      <c r="M12" t="s">
        <v>2</v>
      </c>
      <c r="N12">
        <f t="shared" ref="N12:P14" si="0">N7*9</f>
        <v>3.8776213552448618E-2</v>
      </c>
      <c r="O12">
        <f t="shared" si="0"/>
        <v>6.1986746057283881E-2</v>
      </c>
      <c r="P12">
        <f t="shared" si="0"/>
        <v>1.7756634849875174E-2</v>
      </c>
    </row>
    <row r="13" spans="1:21">
      <c r="A13" t="s">
        <v>0</v>
      </c>
      <c r="B13">
        <v>2</v>
      </c>
      <c r="C13" t="s">
        <v>1</v>
      </c>
      <c r="D13" t="s">
        <v>2</v>
      </c>
      <c r="E13" t="s">
        <v>3</v>
      </c>
      <c r="F13">
        <v>2</v>
      </c>
      <c r="G13">
        <v>20260226</v>
      </c>
      <c r="H13" t="s">
        <v>22</v>
      </c>
      <c r="I13">
        <v>85</v>
      </c>
      <c r="J13">
        <v>75</v>
      </c>
      <c r="K13">
        <v>80</v>
      </c>
      <c r="M13" t="s">
        <v>60</v>
      </c>
      <c r="N13">
        <f t="shared" si="0"/>
        <v>4.0668515449202551E-5</v>
      </c>
      <c r="O13">
        <f t="shared" si="0"/>
        <v>1.0407591604752135E-3</v>
      </c>
      <c r="P13">
        <f t="shared" si="0"/>
        <v>5.0111955280813575E-5</v>
      </c>
    </row>
    <row r="14" spans="1:21">
      <c r="A14" t="s">
        <v>0</v>
      </c>
      <c r="B14">
        <v>2</v>
      </c>
      <c r="C14" t="s">
        <v>1</v>
      </c>
      <c r="D14" t="s">
        <v>2</v>
      </c>
      <c r="E14" t="s">
        <v>3</v>
      </c>
      <c r="F14">
        <v>3</v>
      </c>
      <c r="G14">
        <v>20260226</v>
      </c>
      <c r="H14" t="s">
        <v>23</v>
      </c>
      <c r="I14">
        <v>85</v>
      </c>
      <c r="J14">
        <v>78</v>
      </c>
      <c r="K14">
        <v>80</v>
      </c>
      <c r="M14" t="s">
        <v>111</v>
      </c>
      <c r="N14">
        <f t="shared" si="0"/>
        <v>1.4226378426284656</v>
      </c>
      <c r="O14">
        <f t="shared" si="0"/>
        <v>1.8356023174589582</v>
      </c>
      <c r="P14">
        <f t="shared" si="0"/>
        <v>1.3260844534012379</v>
      </c>
    </row>
    <row r="15" spans="1:21">
      <c r="A15" t="s">
        <v>0</v>
      </c>
      <c r="B15">
        <v>2</v>
      </c>
      <c r="C15" t="s">
        <v>1</v>
      </c>
      <c r="D15" t="s">
        <v>2</v>
      </c>
      <c r="E15" t="s">
        <v>3</v>
      </c>
      <c r="F15">
        <v>4</v>
      </c>
      <c r="G15">
        <v>20260226</v>
      </c>
      <c r="H15" t="s">
        <v>24</v>
      </c>
      <c r="I15">
        <v>75</v>
      </c>
      <c r="J15">
        <v>70</v>
      </c>
      <c r="K15">
        <v>80</v>
      </c>
    </row>
    <row r="16" spans="1:21">
      <c r="A16" t="s">
        <v>0</v>
      </c>
      <c r="B16">
        <v>2</v>
      </c>
      <c r="C16" t="s">
        <v>1</v>
      </c>
      <c r="D16" t="s">
        <v>2</v>
      </c>
      <c r="E16" t="s">
        <v>3</v>
      </c>
      <c r="F16">
        <v>5</v>
      </c>
      <c r="G16">
        <v>20260226</v>
      </c>
      <c r="H16" t="s">
        <v>25</v>
      </c>
      <c r="I16">
        <v>80</v>
      </c>
      <c r="J16">
        <v>68</v>
      </c>
      <c r="K16">
        <v>75</v>
      </c>
    </row>
    <row r="17" spans="1:11">
      <c r="A17" t="s">
        <v>0</v>
      </c>
      <c r="B17">
        <v>2</v>
      </c>
      <c r="C17" t="s">
        <v>1</v>
      </c>
      <c r="D17" t="s">
        <v>2</v>
      </c>
      <c r="E17" t="s">
        <v>3</v>
      </c>
      <c r="F17">
        <v>6</v>
      </c>
      <c r="G17">
        <v>20260226</v>
      </c>
      <c r="H17" t="s">
        <v>26</v>
      </c>
      <c r="I17">
        <v>75</v>
      </c>
      <c r="J17">
        <v>70</v>
      </c>
      <c r="K17">
        <v>80</v>
      </c>
    </row>
    <row r="18" spans="1:11">
      <c r="A18" t="s">
        <v>0</v>
      </c>
      <c r="B18">
        <v>2</v>
      </c>
      <c r="C18" t="s">
        <v>1</v>
      </c>
      <c r="D18" t="s">
        <v>2</v>
      </c>
      <c r="E18" t="s">
        <v>3</v>
      </c>
      <c r="F18">
        <v>7</v>
      </c>
      <c r="G18">
        <v>20260226</v>
      </c>
      <c r="H18" t="s">
        <v>27</v>
      </c>
      <c r="I18">
        <v>70</v>
      </c>
      <c r="J18">
        <v>65</v>
      </c>
      <c r="K18">
        <v>68</v>
      </c>
    </row>
    <row r="19" spans="1:11">
      <c r="A19" t="s">
        <v>0</v>
      </c>
      <c r="B19">
        <v>2</v>
      </c>
      <c r="C19" t="s">
        <v>1</v>
      </c>
      <c r="D19" t="s">
        <v>2</v>
      </c>
      <c r="E19" t="s">
        <v>3</v>
      </c>
      <c r="F19">
        <v>8</v>
      </c>
      <c r="G19">
        <v>20260226</v>
      </c>
      <c r="H19" t="s">
        <v>28</v>
      </c>
      <c r="I19">
        <v>85</v>
      </c>
      <c r="J19">
        <v>75</v>
      </c>
      <c r="K19">
        <v>80</v>
      </c>
    </row>
    <row r="20" spans="1:11">
      <c r="A20" t="s">
        <v>0</v>
      </c>
      <c r="B20">
        <v>2</v>
      </c>
      <c r="C20" t="s">
        <v>1</v>
      </c>
      <c r="D20" t="s">
        <v>2</v>
      </c>
      <c r="E20" t="s">
        <v>3</v>
      </c>
      <c r="F20">
        <v>9</v>
      </c>
      <c r="G20">
        <v>20260226</v>
      </c>
      <c r="H20" t="s">
        <v>29</v>
      </c>
      <c r="I20">
        <v>85</v>
      </c>
      <c r="J20">
        <v>75</v>
      </c>
      <c r="K20">
        <v>80</v>
      </c>
    </row>
    <row r="21" spans="1:11">
      <c r="A21" t="s">
        <v>0</v>
      </c>
      <c r="B21">
        <v>3</v>
      </c>
      <c r="C21" t="s">
        <v>1</v>
      </c>
      <c r="D21" t="s">
        <v>2</v>
      </c>
      <c r="E21" t="s">
        <v>3</v>
      </c>
      <c r="F21">
        <v>0</v>
      </c>
      <c r="G21">
        <v>20260226</v>
      </c>
      <c r="H21" t="s">
        <v>30</v>
      </c>
      <c r="I21">
        <v>85</v>
      </c>
      <c r="J21">
        <v>70</v>
      </c>
      <c r="K21">
        <v>80</v>
      </c>
    </row>
    <row r="22" spans="1:11">
      <c r="A22" t="s">
        <v>0</v>
      </c>
      <c r="B22">
        <v>3</v>
      </c>
      <c r="C22" t="s">
        <v>1</v>
      </c>
      <c r="D22" t="s">
        <v>2</v>
      </c>
      <c r="E22" t="s">
        <v>3</v>
      </c>
      <c r="F22">
        <v>1</v>
      </c>
      <c r="G22">
        <v>20260226</v>
      </c>
      <c r="H22" t="s">
        <v>31</v>
      </c>
      <c r="I22">
        <v>85</v>
      </c>
      <c r="J22">
        <v>75</v>
      </c>
      <c r="K22">
        <v>80</v>
      </c>
    </row>
    <row r="23" spans="1:11">
      <c r="A23" t="s">
        <v>0</v>
      </c>
      <c r="B23">
        <v>3</v>
      </c>
      <c r="C23" t="s">
        <v>1</v>
      </c>
      <c r="D23" t="s">
        <v>2</v>
      </c>
      <c r="E23" t="s">
        <v>3</v>
      </c>
      <c r="F23">
        <v>2</v>
      </c>
      <c r="G23">
        <v>20260226</v>
      </c>
      <c r="H23" t="s">
        <v>32</v>
      </c>
      <c r="I23">
        <v>90</v>
      </c>
      <c r="J23">
        <v>88</v>
      </c>
      <c r="K23">
        <v>90</v>
      </c>
    </row>
    <row r="24" spans="1:11">
      <c r="A24" t="s">
        <v>0</v>
      </c>
      <c r="B24">
        <v>3</v>
      </c>
      <c r="C24" t="s">
        <v>1</v>
      </c>
      <c r="D24" t="s">
        <v>2</v>
      </c>
      <c r="E24" t="s">
        <v>3</v>
      </c>
      <c r="F24">
        <v>3</v>
      </c>
      <c r="G24">
        <v>20260226</v>
      </c>
      <c r="H24" t="s">
        <v>33</v>
      </c>
      <c r="I24">
        <v>85</v>
      </c>
      <c r="J24">
        <v>75</v>
      </c>
      <c r="K24">
        <v>80</v>
      </c>
    </row>
    <row r="25" spans="1:11">
      <c r="A25" t="s">
        <v>0</v>
      </c>
      <c r="B25">
        <v>3</v>
      </c>
      <c r="C25" t="s">
        <v>1</v>
      </c>
      <c r="D25" t="s">
        <v>2</v>
      </c>
      <c r="E25" t="s">
        <v>3</v>
      </c>
      <c r="F25">
        <v>4</v>
      </c>
      <c r="G25">
        <v>20260226</v>
      </c>
      <c r="H25" t="s">
        <v>34</v>
      </c>
      <c r="I25">
        <v>85</v>
      </c>
      <c r="J25">
        <v>70</v>
      </c>
      <c r="K25">
        <v>75</v>
      </c>
    </row>
    <row r="26" spans="1:11">
      <c r="A26" t="s">
        <v>0</v>
      </c>
      <c r="B26">
        <v>3</v>
      </c>
      <c r="C26" t="s">
        <v>1</v>
      </c>
      <c r="D26" t="s">
        <v>2</v>
      </c>
      <c r="E26" t="s">
        <v>3</v>
      </c>
      <c r="F26">
        <v>5</v>
      </c>
      <c r="G26">
        <v>20260226</v>
      </c>
      <c r="H26" t="s">
        <v>35</v>
      </c>
      <c r="I26">
        <v>78</v>
      </c>
      <c r="J26">
        <v>68</v>
      </c>
      <c r="K26">
        <v>70</v>
      </c>
    </row>
    <row r="27" spans="1:11">
      <c r="A27" t="s">
        <v>0</v>
      </c>
      <c r="B27">
        <v>3</v>
      </c>
      <c r="C27" t="s">
        <v>1</v>
      </c>
      <c r="D27" t="s">
        <v>2</v>
      </c>
      <c r="E27" t="s">
        <v>3</v>
      </c>
      <c r="F27">
        <v>6</v>
      </c>
      <c r="G27">
        <v>20260226</v>
      </c>
      <c r="H27" t="s">
        <v>36</v>
      </c>
      <c r="I27">
        <v>85</v>
      </c>
      <c r="J27">
        <v>72</v>
      </c>
      <c r="K27">
        <v>78</v>
      </c>
    </row>
    <row r="28" spans="1:11">
      <c r="A28" t="s">
        <v>0</v>
      </c>
      <c r="B28">
        <v>3</v>
      </c>
      <c r="C28" t="s">
        <v>1</v>
      </c>
      <c r="D28" t="s">
        <v>2</v>
      </c>
      <c r="E28" t="s">
        <v>3</v>
      </c>
      <c r="F28">
        <v>7</v>
      </c>
      <c r="G28">
        <v>20260226</v>
      </c>
      <c r="H28" t="s">
        <v>37</v>
      </c>
      <c r="I28">
        <v>85</v>
      </c>
      <c r="J28">
        <v>75</v>
      </c>
      <c r="K28">
        <v>80</v>
      </c>
    </row>
    <row r="29" spans="1:11">
      <c r="A29" t="s">
        <v>0</v>
      </c>
      <c r="B29">
        <v>3</v>
      </c>
      <c r="C29" t="s">
        <v>1</v>
      </c>
      <c r="D29" t="s">
        <v>2</v>
      </c>
      <c r="E29" t="s">
        <v>3</v>
      </c>
      <c r="F29">
        <v>8</v>
      </c>
      <c r="G29">
        <v>20260226</v>
      </c>
      <c r="H29" t="s">
        <v>38</v>
      </c>
      <c r="I29">
        <v>85</v>
      </c>
      <c r="J29">
        <v>65</v>
      </c>
      <c r="K29">
        <v>70</v>
      </c>
    </row>
    <row r="30" spans="1:11">
      <c r="A30" t="s">
        <v>0</v>
      </c>
      <c r="B30">
        <v>3</v>
      </c>
      <c r="C30" t="s">
        <v>1</v>
      </c>
      <c r="D30" t="s">
        <v>2</v>
      </c>
      <c r="E30" t="s">
        <v>3</v>
      </c>
      <c r="F30">
        <v>9</v>
      </c>
      <c r="G30">
        <v>20260226</v>
      </c>
      <c r="H30" t="s">
        <v>39</v>
      </c>
      <c r="I30">
        <v>85</v>
      </c>
      <c r="J30">
        <v>78</v>
      </c>
      <c r="K30">
        <v>80</v>
      </c>
    </row>
    <row r="31" spans="1:11">
      <c r="A31" t="s">
        <v>0</v>
      </c>
      <c r="B31">
        <v>4</v>
      </c>
      <c r="C31" t="s">
        <v>1</v>
      </c>
      <c r="D31" t="s">
        <v>2</v>
      </c>
      <c r="E31" t="s">
        <v>3</v>
      </c>
      <c r="F31">
        <v>0</v>
      </c>
      <c r="G31">
        <v>20260226</v>
      </c>
      <c r="H31" t="s">
        <v>40</v>
      </c>
      <c r="I31">
        <v>80</v>
      </c>
      <c r="J31">
        <v>70</v>
      </c>
      <c r="K31">
        <v>75</v>
      </c>
    </row>
    <row r="32" spans="1:11">
      <c r="A32" t="s">
        <v>0</v>
      </c>
      <c r="B32">
        <v>4</v>
      </c>
      <c r="C32" t="s">
        <v>1</v>
      </c>
      <c r="D32" t="s">
        <v>2</v>
      </c>
      <c r="E32" t="s">
        <v>3</v>
      </c>
      <c r="F32">
        <v>1</v>
      </c>
      <c r="G32">
        <v>20260226</v>
      </c>
      <c r="H32" t="s">
        <v>41</v>
      </c>
      <c r="I32">
        <v>85</v>
      </c>
      <c r="J32">
        <v>70</v>
      </c>
      <c r="K32">
        <v>75</v>
      </c>
    </row>
    <row r="33" spans="1:11">
      <c r="A33" t="s">
        <v>0</v>
      </c>
      <c r="B33">
        <v>4</v>
      </c>
      <c r="C33" t="s">
        <v>1</v>
      </c>
      <c r="D33" t="s">
        <v>2</v>
      </c>
      <c r="E33" t="s">
        <v>3</v>
      </c>
      <c r="F33">
        <v>2</v>
      </c>
      <c r="G33">
        <v>20260226</v>
      </c>
      <c r="H33" t="s">
        <v>42</v>
      </c>
      <c r="I33">
        <v>85</v>
      </c>
      <c r="J33">
        <v>75</v>
      </c>
      <c r="K33">
        <v>80</v>
      </c>
    </row>
    <row r="34" spans="1:11">
      <c r="A34" t="s">
        <v>0</v>
      </c>
      <c r="B34">
        <v>4</v>
      </c>
      <c r="C34" t="s">
        <v>1</v>
      </c>
      <c r="D34" t="s">
        <v>2</v>
      </c>
      <c r="E34" t="s">
        <v>3</v>
      </c>
      <c r="F34">
        <v>3</v>
      </c>
      <c r="G34">
        <v>20260226</v>
      </c>
      <c r="H34" t="s">
        <v>43</v>
      </c>
      <c r="I34">
        <v>85</v>
      </c>
      <c r="J34">
        <v>75</v>
      </c>
      <c r="K34">
        <v>80</v>
      </c>
    </row>
    <row r="35" spans="1:11">
      <c r="A35" t="s">
        <v>0</v>
      </c>
      <c r="B35">
        <v>4</v>
      </c>
      <c r="C35" t="s">
        <v>1</v>
      </c>
      <c r="D35" t="s">
        <v>2</v>
      </c>
      <c r="E35" t="s">
        <v>3</v>
      </c>
      <c r="F35">
        <v>4</v>
      </c>
      <c r="G35">
        <v>20260226</v>
      </c>
      <c r="H35" t="s">
        <v>44</v>
      </c>
      <c r="I35">
        <v>85</v>
      </c>
      <c r="J35">
        <v>70</v>
      </c>
      <c r="K35">
        <v>75</v>
      </c>
    </row>
    <row r="36" spans="1:11">
      <c r="A36" t="s">
        <v>0</v>
      </c>
      <c r="B36">
        <v>4</v>
      </c>
      <c r="C36" t="s">
        <v>1</v>
      </c>
      <c r="D36" t="s">
        <v>2</v>
      </c>
      <c r="E36" t="s">
        <v>3</v>
      </c>
      <c r="F36">
        <v>5</v>
      </c>
      <c r="G36">
        <v>20260226</v>
      </c>
      <c r="H36" t="s">
        <v>45</v>
      </c>
      <c r="I36">
        <v>85</v>
      </c>
      <c r="J36">
        <v>70</v>
      </c>
      <c r="K36">
        <v>80</v>
      </c>
    </row>
    <row r="37" spans="1:11">
      <c r="A37" t="s">
        <v>0</v>
      </c>
      <c r="B37">
        <v>4</v>
      </c>
      <c r="C37" t="s">
        <v>1</v>
      </c>
      <c r="D37" t="s">
        <v>2</v>
      </c>
      <c r="E37" t="s">
        <v>3</v>
      </c>
      <c r="F37">
        <v>6</v>
      </c>
      <c r="G37">
        <v>20260226</v>
      </c>
      <c r="H37" t="s">
        <v>46</v>
      </c>
      <c r="I37">
        <v>80</v>
      </c>
      <c r="J37">
        <v>70</v>
      </c>
      <c r="K37">
        <v>75</v>
      </c>
    </row>
    <row r="38" spans="1:11">
      <c r="A38" t="s">
        <v>0</v>
      </c>
      <c r="B38">
        <v>4</v>
      </c>
      <c r="C38" t="s">
        <v>1</v>
      </c>
      <c r="D38" t="s">
        <v>2</v>
      </c>
      <c r="E38" t="s">
        <v>3</v>
      </c>
      <c r="F38">
        <v>7</v>
      </c>
      <c r="G38">
        <v>20260226</v>
      </c>
      <c r="H38" t="s">
        <v>47</v>
      </c>
      <c r="I38">
        <v>85</v>
      </c>
      <c r="J38">
        <v>75</v>
      </c>
      <c r="K38">
        <v>80</v>
      </c>
    </row>
    <row r="39" spans="1:11">
      <c r="A39" t="s">
        <v>0</v>
      </c>
      <c r="B39">
        <v>4</v>
      </c>
      <c r="C39" t="s">
        <v>1</v>
      </c>
      <c r="D39" t="s">
        <v>2</v>
      </c>
      <c r="E39" t="s">
        <v>3</v>
      </c>
      <c r="F39">
        <v>8</v>
      </c>
      <c r="G39">
        <v>20260226</v>
      </c>
      <c r="H39" t="s">
        <v>48</v>
      </c>
      <c r="I39">
        <v>85</v>
      </c>
      <c r="J39">
        <v>80</v>
      </c>
      <c r="K39">
        <v>82</v>
      </c>
    </row>
    <row r="40" spans="1:11">
      <c r="A40" t="s">
        <v>0</v>
      </c>
      <c r="B40">
        <v>4</v>
      </c>
      <c r="C40" t="s">
        <v>1</v>
      </c>
      <c r="D40" t="s">
        <v>2</v>
      </c>
      <c r="E40" t="s">
        <v>3</v>
      </c>
      <c r="F40">
        <v>9</v>
      </c>
      <c r="G40">
        <v>20260226</v>
      </c>
      <c r="H40" t="s">
        <v>49</v>
      </c>
      <c r="I40">
        <v>80</v>
      </c>
      <c r="J40">
        <v>70</v>
      </c>
      <c r="K40">
        <v>75</v>
      </c>
    </row>
    <row r="41" spans="1:11">
      <c r="A41" t="s">
        <v>0</v>
      </c>
      <c r="B41">
        <v>5</v>
      </c>
      <c r="C41" t="s">
        <v>1</v>
      </c>
      <c r="D41" t="s">
        <v>2</v>
      </c>
      <c r="E41" t="s">
        <v>3</v>
      </c>
      <c r="F41">
        <v>0</v>
      </c>
      <c r="G41">
        <v>20260226</v>
      </c>
      <c r="H41" t="s">
        <v>50</v>
      </c>
      <c r="I41">
        <v>85</v>
      </c>
      <c r="J41">
        <v>78</v>
      </c>
      <c r="K41">
        <v>80</v>
      </c>
    </row>
    <row r="42" spans="1:11">
      <c r="A42" t="s">
        <v>0</v>
      </c>
      <c r="B42">
        <v>5</v>
      </c>
      <c r="C42" t="s">
        <v>1</v>
      </c>
      <c r="D42" t="s">
        <v>2</v>
      </c>
      <c r="E42" t="s">
        <v>3</v>
      </c>
      <c r="F42">
        <v>1</v>
      </c>
      <c r="G42">
        <v>20260226</v>
      </c>
      <c r="H42" t="s">
        <v>51</v>
      </c>
      <c r="I42">
        <v>82</v>
      </c>
      <c r="J42">
        <v>78</v>
      </c>
      <c r="K42">
        <v>80</v>
      </c>
    </row>
    <row r="43" spans="1:11">
      <c r="A43" t="s">
        <v>0</v>
      </c>
      <c r="B43">
        <v>5</v>
      </c>
      <c r="C43" t="s">
        <v>1</v>
      </c>
      <c r="D43" t="s">
        <v>2</v>
      </c>
      <c r="E43" t="s">
        <v>3</v>
      </c>
      <c r="F43">
        <v>2</v>
      </c>
      <c r="G43">
        <v>20260226</v>
      </c>
      <c r="H43" t="s">
        <v>52</v>
      </c>
      <c r="I43">
        <v>85</v>
      </c>
      <c r="J43">
        <v>75</v>
      </c>
      <c r="K43">
        <v>80</v>
      </c>
    </row>
    <row r="44" spans="1:11">
      <c r="A44" t="s">
        <v>0</v>
      </c>
      <c r="B44">
        <v>5</v>
      </c>
      <c r="C44" t="s">
        <v>1</v>
      </c>
      <c r="D44" t="s">
        <v>2</v>
      </c>
      <c r="E44" t="s">
        <v>3</v>
      </c>
      <c r="F44">
        <v>3</v>
      </c>
      <c r="G44">
        <v>20260226</v>
      </c>
      <c r="H44" t="s">
        <v>53</v>
      </c>
      <c r="I44">
        <v>85</v>
      </c>
      <c r="J44">
        <v>75</v>
      </c>
      <c r="K44">
        <v>80</v>
      </c>
    </row>
    <row r="45" spans="1:11">
      <c r="A45" t="s">
        <v>0</v>
      </c>
      <c r="B45">
        <v>5</v>
      </c>
      <c r="C45" t="s">
        <v>1</v>
      </c>
      <c r="D45" t="s">
        <v>2</v>
      </c>
      <c r="E45" t="s">
        <v>3</v>
      </c>
      <c r="F45">
        <v>4</v>
      </c>
      <c r="G45">
        <v>20260226</v>
      </c>
      <c r="H45" t="s">
        <v>54</v>
      </c>
      <c r="I45">
        <v>85</v>
      </c>
      <c r="J45">
        <v>80</v>
      </c>
      <c r="K45">
        <v>78</v>
      </c>
    </row>
    <row r="46" spans="1:11">
      <c r="A46" t="s">
        <v>0</v>
      </c>
      <c r="B46">
        <v>5</v>
      </c>
      <c r="C46" t="s">
        <v>1</v>
      </c>
      <c r="D46" t="s">
        <v>2</v>
      </c>
      <c r="E46" t="s">
        <v>3</v>
      </c>
      <c r="F46">
        <v>5</v>
      </c>
      <c r="G46">
        <v>20260226</v>
      </c>
      <c r="H46" t="s">
        <v>55</v>
      </c>
      <c r="I46">
        <v>85</v>
      </c>
      <c r="J46">
        <v>75</v>
      </c>
      <c r="K46">
        <v>80</v>
      </c>
    </row>
    <row r="47" spans="1:11">
      <c r="A47" t="s">
        <v>0</v>
      </c>
      <c r="B47">
        <v>5</v>
      </c>
      <c r="C47" t="s">
        <v>1</v>
      </c>
      <c r="D47" t="s">
        <v>2</v>
      </c>
      <c r="E47" t="s">
        <v>3</v>
      </c>
      <c r="F47">
        <v>6</v>
      </c>
      <c r="G47">
        <v>20260226</v>
      </c>
      <c r="H47" t="s">
        <v>56</v>
      </c>
      <c r="I47">
        <v>85</v>
      </c>
      <c r="J47">
        <v>75</v>
      </c>
      <c r="K47">
        <v>80</v>
      </c>
    </row>
    <row r="48" spans="1:11">
      <c r="A48" t="s">
        <v>0</v>
      </c>
      <c r="B48">
        <v>5</v>
      </c>
      <c r="C48" t="s">
        <v>1</v>
      </c>
      <c r="D48" t="s">
        <v>2</v>
      </c>
      <c r="E48" t="s">
        <v>3</v>
      </c>
      <c r="F48">
        <v>7</v>
      </c>
      <c r="G48">
        <v>20260226</v>
      </c>
      <c r="H48" t="s">
        <v>57</v>
      </c>
      <c r="I48">
        <v>75</v>
      </c>
      <c r="J48">
        <v>65</v>
      </c>
      <c r="K48">
        <v>70</v>
      </c>
    </row>
    <row r="49" spans="1:11">
      <c r="A49" t="s">
        <v>0</v>
      </c>
      <c r="B49">
        <v>5</v>
      </c>
      <c r="C49" t="s">
        <v>1</v>
      </c>
      <c r="D49" t="s">
        <v>2</v>
      </c>
      <c r="E49" t="s">
        <v>3</v>
      </c>
      <c r="F49">
        <v>8</v>
      </c>
      <c r="G49">
        <v>20260226</v>
      </c>
      <c r="H49" t="s">
        <v>58</v>
      </c>
      <c r="I49">
        <v>85</v>
      </c>
      <c r="J49">
        <v>70</v>
      </c>
      <c r="K49">
        <v>80</v>
      </c>
    </row>
    <row r="50" spans="1:11">
      <c r="A50" t="s">
        <v>0</v>
      </c>
      <c r="B50">
        <v>5</v>
      </c>
      <c r="C50" t="s">
        <v>1</v>
      </c>
      <c r="D50" t="s">
        <v>2</v>
      </c>
      <c r="E50" t="s">
        <v>3</v>
      </c>
      <c r="F50">
        <v>9</v>
      </c>
      <c r="G50">
        <v>20260226</v>
      </c>
      <c r="H50" t="s">
        <v>59</v>
      </c>
      <c r="I50">
        <v>85</v>
      </c>
      <c r="J50">
        <v>75</v>
      </c>
      <c r="K50">
        <v>80</v>
      </c>
    </row>
    <row r="51" spans="1:11">
      <c r="A51" t="s">
        <v>0</v>
      </c>
      <c r="B51">
        <v>1</v>
      </c>
      <c r="C51" t="s">
        <v>1</v>
      </c>
      <c r="D51" t="s">
        <v>60</v>
      </c>
      <c r="E51" t="s">
        <v>3</v>
      </c>
      <c r="F51">
        <v>0</v>
      </c>
      <c r="G51">
        <v>20260225</v>
      </c>
      <c r="H51" t="s">
        <v>61</v>
      </c>
      <c r="I51">
        <v>85</v>
      </c>
      <c r="J51">
        <v>75</v>
      </c>
      <c r="K51">
        <v>80</v>
      </c>
    </row>
    <row r="52" spans="1:11">
      <c r="A52" t="s">
        <v>0</v>
      </c>
      <c r="B52">
        <v>1</v>
      </c>
      <c r="C52" t="s">
        <v>1</v>
      </c>
      <c r="D52" t="s">
        <v>60</v>
      </c>
      <c r="E52" t="s">
        <v>3</v>
      </c>
      <c r="F52">
        <v>1</v>
      </c>
      <c r="G52">
        <v>20260225</v>
      </c>
      <c r="H52" t="s">
        <v>62</v>
      </c>
      <c r="I52">
        <v>85</v>
      </c>
      <c r="J52">
        <v>75</v>
      </c>
      <c r="K52">
        <v>80</v>
      </c>
    </row>
    <row r="53" spans="1:11">
      <c r="A53" t="s">
        <v>0</v>
      </c>
      <c r="B53">
        <v>1</v>
      </c>
      <c r="C53" t="s">
        <v>1</v>
      </c>
      <c r="D53" t="s">
        <v>60</v>
      </c>
      <c r="E53" t="s">
        <v>3</v>
      </c>
      <c r="F53">
        <v>2</v>
      </c>
      <c r="G53">
        <v>20260225</v>
      </c>
      <c r="H53" t="s">
        <v>63</v>
      </c>
      <c r="I53">
        <v>78</v>
      </c>
      <c r="J53">
        <v>68</v>
      </c>
      <c r="K53">
        <v>70</v>
      </c>
    </row>
    <row r="54" spans="1:11">
      <c r="A54" t="s">
        <v>0</v>
      </c>
      <c r="B54">
        <v>1</v>
      </c>
      <c r="C54" t="s">
        <v>1</v>
      </c>
      <c r="D54" t="s">
        <v>60</v>
      </c>
      <c r="E54" t="s">
        <v>3</v>
      </c>
      <c r="F54">
        <v>3</v>
      </c>
      <c r="G54">
        <v>20260225</v>
      </c>
      <c r="H54" t="s">
        <v>64</v>
      </c>
      <c r="I54">
        <v>85</v>
      </c>
      <c r="J54">
        <v>75</v>
      </c>
      <c r="K54">
        <v>80</v>
      </c>
    </row>
    <row r="55" spans="1:11">
      <c r="A55" t="s">
        <v>0</v>
      </c>
      <c r="B55">
        <v>1</v>
      </c>
      <c r="C55" t="s">
        <v>1</v>
      </c>
      <c r="D55" t="s">
        <v>60</v>
      </c>
      <c r="E55" t="s">
        <v>3</v>
      </c>
      <c r="F55">
        <v>4</v>
      </c>
      <c r="G55">
        <v>20260225</v>
      </c>
      <c r="H55" t="s">
        <v>65</v>
      </c>
      <c r="I55">
        <v>85</v>
      </c>
      <c r="J55">
        <v>70</v>
      </c>
      <c r="K55">
        <v>75</v>
      </c>
    </row>
    <row r="56" spans="1:11">
      <c r="A56" t="s">
        <v>0</v>
      </c>
      <c r="B56">
        <v>1</v>
      </c>
      <c r="C56" t="s">
        <v>1</v>
      </c>
      <c r="D56" t="s">
        <v>60</v>
      </c>
      <c r="E56" t="s">
        <v>3</v>
      </c>
      <c r="F56">
        <v>5</v>
      </c>
      <c r="G56">
        <v>20260225</v>
      </c>
      <c r="H56" t="s">
        <v>66</v>
      </c>
      <c r="I56">
        <v>85</v>
      </c>
      <c r="J56">
        <v>75</v>
      </c>
      <c r="K56">
        <v>80</v>
      </c>
    </row>
    <row r="57" spans="1:11">
      <c r="A57" t="s">
        <v>0</v>
      </c>
      <c r="B57">
        <v>1</v>
      </c>
      <c r="C57" t="s">
        <v>1</v>
      </c>
      <c r="D57" t="s">
        <v>60</v>
      </c>
      <c r="E57" t="s">
        <v>3</v>
      </c>
      <c r="F57">
        <v>6</v>
      </c>
      <c r="G57">
        <v>20260225</v>
      </c>
      <c r="H57" t="s">
        <v>67</v>
      </c>
      <c r="I57">
        <v>78</v>
      </c>
      <c r="J57">
        <v>80</v>
      </c>
      <c r="K57">
        <v>82</v>
      </c>
    </row>
    <row r="58" spans="1:11">
      <c r="A58" t="s">
        <v>0</v>
      </c>
      <c r="B58">
        <v>1</v>
      </c>
      <c r="C58" t="s">
        <v>1</v>
      </c>
      <c r="D58" t="s">
        <v>60</v>
      </c>
      <c r="E58" t="s">
        <v>3</v>
      </c>
      <c r="F58">
        <v>7</v>
      </c>
      <c r="G58">
        <v>20260225</v>
      </c>
      <c r="H58" t="s">
        <v>68</v>
      </c>
      <c r="I58">
        <v>88</v>
      </c>
      <c r="J58">
        <v>78</v>
      </c>
      <c r="K58">
        <v>80</v>
      </c>
    </row>
    <row r="59" spans="1:11">
      <c r="A59" t="s">
        <v>0</v>
      </c>
      <c r="B59">
        <v>1</v>
      </c>
      <c r="C59" t="s">
        <v>1</v>
      </c>
      <c r="D59" t="s">
        <v>60</v>
      </c>
      <c r="E59" t="s">
        <v>3</v>
      </c>
      <c r="F59">
        <v>8</v>
      </c>
      <c r="G59">
        <v>20260225</v>
      </c>
      <c r="H59" t="s">
        <v>69</v>
      </c>
      <c r="I59">
        <v>85</v>
      </c>
      <c r="J59">
        <v>65</v>
      </c>
      <c r="K59">
        <v>70</v>
      </c>
    </row>
    <row r="60" spans="1:11">
      <c r="A60" t="s">
        <v>0</v>
      </c>
      <c r="B60">
        <v>1</v>
      </c>
      <c r="C60" t="s">
        <v>1</v>
      </c>
      <c r="D60" t="s">
        <v>60</v>
      </c>
      <c r="E60" t="s">
        <v>3</v>
      </c>
      <c r="F60">
        <v>9</v>
      </c>
      <c r="G60">
        <v>20260225</v>
      </c>
      <c r="H60" t="s">
        <v>70</v>
      </c>
      <c r="I60">
        <v>58</v>
      </c>
      <c r="J60">
        <v>52</v>
      </c>
      <c r="K60">
        <v>55</v>
      </c>
    </row>
    <row r="61" spans="1:11">
      <c r="A61" t="s">
        <v>0</v>
      </c>
      <c r="B61">
        <v>2</v>
      </c>
      <c r="C61" t="s">
        <v>1</v>
      </c>
      <c r="D61" t="s">
        <v>60</v>
      </c>
      <c r="E61" t="s">
        <v>3</v>
      </c>
      <c r="F61">
        <v>0</v>
      </c>
      <c r="G61">
        <v>20260225</v>
      </c>
      <c r="H61" t="s">
        <v>71</v>
      </c>
      <c r="I61">
        <v>85</v>
      </c>
      <c r="J61">
        <v>75</v>
      </c>
      <c r="K61">
        <v>80</v>
      </c>
    </row>
    <row r="62" spans="1:11">
      <c r="A62" t="s">
        <v>0</v>
      </c>
      <c r="B62">
        <v>2</v>
      </c>
      <c r="C62" t="s">
        <v>1</v>
      </c>
      <c r="D62" t="s">
        <v>60</v>
      </c>
      <c r="E62" t="s">
        <v>3</v>
      </c>
      <c r="F62">
        <v>1</v>
      </c>
      <c r="G62">
        <v>20260225</v>
      </c>
      <c r="H62" t="s">
        <v>72</v>
      </c>
      <c r="I62">
        <v>82</v>
      </c>
      <c r="J62">
        <v>85</v>
      </c>
      <c r="K62">
        <v>88</v>
      </c>
    </row>
    <row r="63" spans="1:11">
      <c r="A63" t="s">
        <v>0</v>
      </c>
      <c r="B63">
        <v>2</v>
      </c>
      <c r="C63" t="s">
        <v>1</v>
      </c>
      <c r="D63" t="s">
        <v>60</v>
      </c>
      <c r="E63" t="s">
        <v>3</v>
      </c>
      <c r="F63">
        <v>2</v>
      </c>
      <c r="G63">
        <v>20260225</v>
      </c>
      <c r="H63" t="s">
        <v>73</v>
      </c>
      <c r="I63">
        <v>85</v>
      </c>
      <c r="J63">
        <v>80</v>
      </c>
      <c r="K63">
        <v>78</v>
      </c>
    </row>
    <row r="64" spans="1:11">
      <c r="A64" t="s">
        <v>0</v>
      </c>
      <c r="B64">
        <v>2</v>
      </c>
      <c r="C64" t="s">
        <v>1</v>
      </c>
      <c r="D64" t="s">
        <v>60</v>
      </c>
      <c r="E64" t="s">
        <v>3</v>
      </c>
      <c r="F64">
        <v>3</v>
      </c>
      <c r="G64">
        <v>20260225</v>
      </c>
      <c r="H64" t="s">
        <v>74</v>
      </c>
      <c r="I64">
        <v>85</v>
      </c>
      <c r="J64">
        <v>70</v>
      </c>
      <c r="K64">
        <v>75</v>
      </c>
    </row>
    <row r="65" spans="1:11">
      <c r="A65" t="s">
        <v>0</v>
      </c>
      <c r="B65">
        <v>2</v>
      </c>
      <c r="C65" t="s">
        <v>1</v>
      </c>
      <c r="D65" t="s">
        <v>60</v>
      </c>
      <c r="E65" t="s">
        <v>3</v>
      </c>
      <c r="F65">
        <v>4</v>
      </c>
      <c r="G65">
        <v>20260225</v>
      </c>
      <c r="H65" t="s">
        <v>75</v>
      </c>
      <c r="I65">
        <v>85</v>
      </c>
      <c r="J65">
        <v>88</v>
      </c>
      <c r="K65">
        <v>90</v>
      </c>
    </row>
    <row r="66" spans="1:11">
      <c r="A66" t="s">
        <v>0</v>
      </c>
      <c r="B66">
        <v>2</v>
      </c>
      <c r="C66" t="s">
        <v>1</v>
      </c>
      <c r="D66" t="s">
        <v>60</v>
      </c>
      <c r="E66" t="s">
        <v>3</v>
      </c>
      <c r="F66">
        <v>5</v>
      </c>
      <c r="G66">
        <v>20260225</v>
      </c>
      <c r="H66" t="s">
        <v>76</v>
      </c>
      <c r="I66">
        <v>75</v>
      </c>
      <c r="J66">
        <v>70</v>
      </c>
      <c r="K66">
        <v>68</v>
      </c>
    </row>
    <row r="67" spans="1:11">
      <c r="A67" t="s">
        <v>0</v>
      </c>
      <c r="B67">
        <v>2</v>
      </c>
      <c r="C67" t="s">
        <v>1</v>
      </c>
      <c r="D67" t="s">
        <v>60</v>
      </c>
      <c r="E67" t="s">
        <v>3</v>
      </c>
      <c r="F67">
        <v>6</v>
      </c>
      <c r="G67">
        <v>20260225</v>
      </c>
      <c r="H67" t="s">
        <v>77</v>
      </c>
      <c r="I67">
        <v>70</v>
      </c>
      <c r="J67">
        <v>65</v>
      </c>
      <c r="K67">
        <v>68</v>
      </c>
    </row>
    <row r="68" spans="1:11">
      <c r="A68" t="s">
        <v>0</v>
      </c>
      <c r="B68">
        <v>2</v>
      </c>
      <c r="C68" t="s">
        <v>1</v>
      </c>
      <c r="D68" t="s">
        <v>60</v>
      </c>
      <c r="E68" t="s">
        <v>3</v>
      </c>
      <c r="F68">
        <v>7</v>
      </c>
      <c r="G68">
        <v>20260225</v>
      </c>
      <c r="H68" t="s">
        <v>78</v>
      </c>
      <c r="I68">
        <v>70</v>
      </c>
      <c r="J68">
        <v>60</v>
      </c>
      <c r="K68">
        <v>65</v>
      </c>
    </row>
    <row r="69" spans="1:11">
      <c r="A69" t="s">
        <v>0</v>
      </c>
      <c r="B69">
        <v>2</v>
      </c>
      <c r="C69" t="s">
        <v>1</v>
      </c>
      <c r="D69" t="s">
        <v>60</v>
      </c>
      <c r="E69" t="s">
        <v>3</v>
      </c>
      <c r="F69">
        <v>8</v>
      </c>
      <c r="G69">
        <v>20260225</v>
      </c>
      <c r="H69" t="s">
        <v>79</v>
      </c>
      <c r="I69">
        <v>85</v>
      </c>
      <c r="J69">
        <v>75</v>
      </c>
      <c r="K69">
        <v>80</v>
      </c>
    </row>
    <row r="70" spans="1:11">
      <c r="A70" t="s">
        <v>0</v>
      </c>
      <c r="B70">
        <v>2</v>
      </c>
      <c r="C70" t="s">
        <v>1</v>
      </c>
      <c r="D70" t="s">
        <v>60</v>
      </c>
      <c r="E70" t="s">
        <v>3</v>
      </c>
      <c r="F70">
        <v>9</v>
      </c>
      <c r="G70">
        <v>20260225</v>
      </c>
      <c r="H70" t="s">
        <v>80</v>
      </c>
      <c r="I70">
        <v>85</v>
      </c>
      <c r="J70">
        <v>78</v>
      </c>
      <c r="K70">
        <v>82</v>
      </c>
    </row>
    <row r="71" spans="1:11">
      <c r="A71" t="s">
        <v>0</v>
      </c>
      <c r="B71">
        <v>3</v>
      </c>
      <c r="C71" t="s">
        <v>1</v>
      </c>
      <c r="D71" t="s">
        <v>60</v>
      </c>
      <c r="E71" t="s">
        <v>3</v>
      </c>
      <c r="F71">
        <v>0</v>
      </c>
      <c r="G71">
        <v>20260225</v>
      </c>
      <c r="H71" t="s">
        <v>81</v>
      </c>
      <c r="I71">
        <v>60</v>
      </c>
      <c r="J71">
        <v>55</v>
      </c>
      <c r="K71">
        <v>58</v>
      </c>
    </row>
    <row r="72" spans="1:11">
      <c r="A72" t="s">
        <v>0</v>
      </c>
      <c r="B72">
        <v>3</v>
      </c>
      <c r="C72" t="s">
        <v>1</v>
      </c>
      <c r="D72" t="s">
        <v>60</v>
      </c>
      <c r="E72" t="s">
        <v>3</v>
      </c>
      <c r="F72">
        <v>1</v>
      </c>
      <c r="G72">
        <v>20260225</v>
      </c>
      <c r="H72" t="s">
        <v>82</v>
      </c>
      <c r="I72">
        <v>85</v>
      </c>
      <c r="J72">
        <v>75</v>
      </c>
      <c r="K72">
        <v>80</v>
      </c>
    </row>
    <row r="73" spans="1:11">
      <c r="A73" t="s">
        <v>0</v>
      </c>
      <c r="B73">
        <v>3</v>
      </c>
      <c r="C73" t="s">
        <v>1</v>
      </c>
      <c r="D73" t="s">
        <v>60</v>
      </c>
      <c r="E73" t="s">
        <v>3</v>
      </c>
      <c r="F73">
        <v>2</v>
      </c>
      <c r="G73">
        <v>20260225</v>
      </c>
      <c r="H73" t="s">
        <v>83</v>
      </c>
      <c r="I73">
        <v>80</v>
      </c>
      <c r="J73">
        <v>70</v>
      </c>
      <c r="K73">
        <v>75</v>
      </c>
    </row>
    <row r="74" spans="1:11">
      <c r="A74" t="s">
        <v>0</v>
      </c>
      <c r="B74">
        <v>3</v>
      </c>
      <c r="C74" t="s">
        <v>1</v>
      </c>
      <c r="D74" t="s">
        <v>60</v>
      </c>
      <c r="E74" t="s">
        <v>3</v>
      </c>
      <c r="F74">
        <v>3</v>
      </c>
      <c r="G74">
        <v>20260225</v>
      </c>
      <c r="H74" t="s">
        <v>84</v>
      </c>
      <c r="I74">
        <v>85</v>
      </c>
      <c r="J74">
        <v>70</v>
      </c>
      <c r="K74">
        <v>80</v>
      </c>
    </row>
    <row r="75" spans="1:11">
      <c r="A75" t="s">
        <v>0</v>
      </c>
      <c r="B75">
        <v>3</v>
      </c>
      <c r="C75" t="s">
        <v>1</v>
      </c>
      <c r="D75" t="s">
        <v>60</v>
      </c>
      <c r="E75" t="s">
        <v>3</v>
      </c>
      <c r="F75">
        <v>4</v>
      </c>
      <c r="G75">
        <v>20260225</v>
      </c>
      <c r="H75" t="s">
        <v>85</v>
      </c>
      <c r="I75">
        <v>85</v>
      </c>
      <c r="J75">
        <v>65</v>
      </c>
      <c r="K75">
        <v>70</v>
      </c>
    </row>
    <row r="76" spans="1:11">
      <c r="A76" t="s">
        <v>0</v>
      </c>
      <c r="B76">
        <v>3</v>
      </c>
      <c r="C76" t="s">
        <v>1</v>
      </c>
      <c r="D76" t="s">
        <v>60</v>
      </c>
      <c r="E76" t="s">
        <v>3</v>
      </c>
      <c r="F76">
        <v>5</v>
      </c>
      <c r="G76">
        <v>20260225</v>
      </c>
      <c r="H76" t="s">
        <v>86</v>
      </c>
      <c r="I76">
        <v>75</v>
      </c>
      <c r="J76">
        <v>65</v>
      </c>
      <c r="K76">
        <v>70</v>
      </c>
    </row>
    <row r="77" spans="1:11">
      <c r="A77" t="s">
        <v>0</v>
      </c>
      <c r="B77">
        <v>3</v>
      </c>
      <c r="C77" t="s">
        <v>1</v>
      </c>
      <c r="D77" t="s">
        <v>60</v>
      </c>
      <c r="E77" t="s">
        <v>3</v>
      </c>
      <c r="F77">
        <v>6</v>
      </c>
      <c r="G77">
        <v>20260225</v>
      </c>
      <c r="H77" t="s">
        <v>87</v>
      </c>
      <c r="I77">
        <v>85</v>
      </c>
      <c r="J77">
        <v>75</v>
      </c>
      <c r="K77">
        <v>80</v>
      </c>
    </row>
    <row r="78" spans="1:11">
      <c r="A78" t="s">
        <v>0</v>
      </c>
      <c r="B78">
        <v>3</v>
      </c>
      <c r="C78" t="s">
        <v>1</v>
      </c>
      <c r="D78" t="s">
        <v>60</v>
      </c>
      <c r="E78" t="s">
        <v>3</v>
      </c>
      <c r="F78">
        <v>7</v>
      </c>
      <c r="G78">
        <v>20260225</v>
      </c>
      <c r="H78" t="s">
        <v>88</v>
      </c>
      <c r="I78">
        <v>85</v>
      </c>
      <c r="J78">
        <v>75</v>
      </c>
      <c r="K78">
        <v>80</v>
      </c>
    </row>
    <row r="79" spans="1:11">
      <c r="A79" t="s">
        <v>0</v>
      </c>
      <c r="B79">
        <v>3</v>
      </c>
      <c r="C79" t="s">
        <v>1</v>
      </c>
      <c r="D79" t="s">
        <v>60</v>
      </c>
      <c r="E79" t="s">
        <v>3</v>
      </c>
      <c r="F79">
        <v>8</v>
      </c>
      <c r="G79">
        <v>20260225</v>
      </c>
      <c r="H79" t="s">
        <v>89</v>
      </c>
      <c r="I79">
        <v>85</v>
      </c>
      <c r="J79">
        <v>82</v>
      </c>
      <c r="K79">
        <v>80</v>
      </c>
    </row>
    <row r="80" spans="1:11">
      <c r="A80" t="s">
        <v>0</v>
      </c>
      <c r="B80">
        <v>3</v>
      </c>
      <c r="C80" t="s">
        <v>1</v>
      </c>
      <c r="D80" t="s">
        <v>60</v>
      </c>
      <c r="E80" t="s">
        <v>3</v>
      </c>
      <c r="F80">
        <v>9</v>
      </c>
      <c r="G80">
        <v>20260225</v>
      </c>
      <c r="H80" t="s">
        <v>90</v>
      </c>
      <c r="I80">
        <v>85</v>
      </c>
      <c r="J80">
        <v>75</v>
      </c>
      <c r="K80">
        <v>80</v>
      </c>
    </row>
    <row r="81" spans="1:11">
      <c r="A81" t="s">
        <v>0</v>
      </c>
      <c r="B81">
        <v>4</v>
      </c>
      <c r="C81" t="s">
        <v>1</v>
      </c>
      <c r="D81" t="s">
        <v>60</v>
      </c>
      <c r="E81" t="s">
        <v>3</v>
      </c>
      <c r="F81">
        <v>0</v>
      </c>
      <c r="G81">
        <v>20260225</v>
      </c>
      <c r="H81" t="s">
        <v>91</v>
      </c>
      <c r="I81">
        <v>85</v>
      </c>
      <c r="J81">
        <v>70</v>
      </c>
      <c r="K81">
        <v>80</v>
      </c>
    </row>
    <row r="82" spans="1:11">
      <c r="A82" t="s">
        <v>0</v>
      </c>
      <c r="B82">
        <v>4</v>
      </c>
      <c r="C82" t="s">
        <v>1</v>
      </c>
      <c r="D82" t="s">
        <v>60</v>
      </c>
      <c r="E82" t="s">
        <v>3</v>
      </c>
      <c r="F82">
        <v>1</v>
      </c>
      <c r="G82">
        <v>20260225</v>
      </c>
      <c r="H82" t="s">
        <v>92</v>
      </c>
      <c r="I82">
        <v>75</v>
      </c>
      <c r="J82">
        <v>70</v>
      </c>
      <c r="K82">
        <v>80</v>
      </c>
    </row>
    <row r="83" spans="1:11">
      <c r="A83" t="s">
        <v>0</v>
      </c>
      <c r="B83">
        <v>4</v>
      </c>
      <c r="C83" t="s">
        <v>1</v>
      </c>
      <c r="D83" t="s">
        <v>60</v>
      </c>
      <c r="E83" t="s">
        <v>3</v>
      </c>
      <c r="F83">
        <v>2</v>
      </c>
      <c r="G83">
        <v>20260225</v>
      </c>
      <c r="H83" t="s">
        <v>93</v>
      </c>
      <c r="I83">
        <v>85</v>
      </c>
      <c r="J83">
        <v>60</v>
      </c>
      <c r="K83">
        <v>70</v>
      </c>
    </row>
    <row r="84" spans="1:11">
      <c r="A84" t="s">
        <v>0</v>
      </c>
      <c r="B84">
        <v>4</v>
      </c>
      <c r="C84" t="s">
        <v>1</v>
      </c>
      <c r="D84" t="s">
        <v>60</v>
      </c>
      <c r="E84" t="s">
        <v>3</v>
      </c>
      <c r="F84">
        <v>3</v>
      </c>
      <c r="G84">
        <v>20260225</v>
      </c>
      <c r="H84" t="s">
        <v>94</v>
      </c>
      <c r="I84">
        <v>60</v>
      </c>
      <c r="J84">
        <v>55</v>
      </c>
      <c r="K84">
        <v>58</v>
      </c>
    </row>
    <row r="85" spans="1:11">
      <c r="A85" t="s">
        <v>0</v>
      </c>
      <c r="B85">
        <v>4</v>
      </c>
      <c r="C85" t="s">
        <v>1</v>
      </c>
      <c r="D85" t="s">
        <v>60</v>
      </c>
      <c r="E85" t="s">
        <v>3</v>
      </c>
      <c r="F85">
        <v>4</v>
      </c>
      <c r="G85">
        <v>20260225</v>
      </c>
      <c r="H85" t="s">
        <v>95</v>
      </c>
      <c r="I85">
        <v>70</v>
      </c>
      <c r="J85">
        <v>65</v>
      </c>
      <c r="K85">
        <v>68</v>
      </c>
    </row>
    <row r="86" spans="1:11">
      <c r="A86" t="s">
        <v>0</v>
      </c>
      <c r="B86">
        <v>4</v>
      </c>
      <c r="C86" t="s">
        <v>1</v>
      </c>
      <c r="D86" t="s">
        <v>60</v>
      </c>
      <c r="E86" t="s">
        <v>3</v>
      </c>
      <c r="F86">
        <v>5</v>
      </c>
      <c r="G86">
        <v>20260225</v>
      </c>
      <c r="H86" t="s">
        <v>96</v>
      </c>
      <c r="I86">
        <v>80</v>
      </c>
      <c r="J86">
        <v>70</v>
      </c>
      <c r="K86">
        <v>75</v>
      </c>
    </row>
    <row r="87" spans="1:11">
      <c r="A87" t="s">
        <v>0</v>
      </c>
      <c r="B87">
        <v>4</v>
      </c>
      <c r="C87" t="s">
        <v>1</v>
      </c>
      <c r="D87" t="s">
        <v>60</v>
      </c>
      <c r="E87" t="s">
        <v>3</v>
      </c>
      <c r="F87">
        <v>6</v>
      </c>
      <c r="G87">
        <v>20260225</v>
      </c>
      <c r="H87" t="s">
        <v>97</v>
      </c>
      <c r="I87">
        <v>85</v>
      </c>
      <c r="J87">
        <v>70</v>
      </c>
      <c r="K87">
        <v>80</v>
      </c>
    </row>
    <row r="88" spans="1:11">
      <c r="A88" t="s">
        <v>0</v>
      </c>
      <c r="B88">
        <v>4</v>
      </c>
      <c r="C88" t="s">
        <v>1</v>
      </c>
      <c r="D88" t="s">
        <v>60</v>
      </c>
      <c r="E88" t="s">
        <v>3</v>
      </c>
      <c r="F88">
        <v>7</v>
      </c>
      <c r="G88">
        <v>20260225</v>
      </c>
      <c r="H88" t="s">
        <v>98</v>
      </c>
      <c r="I88">
        <v>70</v>
      </c>
      <c r="J88">
        <v>65</v>
      </c>
      <c r="K88">
        <v>68</v>
      </c>
    </row>
    <row r="89" spans="1:11">
      <c r="A89" t="s">
        <v>0</v>
      </c>
      <c r="B89">
        <v>4</v>
      </c>
      <c r="C89" t="s">
        <v>1</v>
      </c>
      <c r="D89" t="s">
        <v>60</v>
      </c>
      <c r="E89" t="s">
        <v>3</v>
      </c>
      <c r="F89">
        <v>8</v>
      </c>
      <c r="G89">
        <v>20260225</v>
      </c>
      <c r="H89" t="s">
        <v>99</v>
      </c>
      <c r="I89">
        <v>85</v>
      </c>
      <c r="J89">
        <v>75</v>
      </c>
      <c r="K89">
        <v>80</v>
      </c>
    </row>
    <row r="90" spans="1:11">
      <c r="A90" t="s">
        <v>0</v>
      </c>
      <c r="B90">
        <v>4</v>
      </c>
      <c r="C90" t="s">
        <v>1</v>
      </c>
      <c r="D90" t="s">
        <v>60</v>
      </c>
      <c r="E90" t="s">
        <v>3</v>
      </c>
      <c r="F90">
        <v>9</v>
      </c>
      <c r="G90">
        <v>20260225</v>
      </c>
      <c r="H90" t="s">
        <v>100</v>
      </c>
      <c r="I90">
        <v>70</v>
      </c>
      <c r="J90">
        <v>55</v>
      </c>
      <c r="K90">
        <v>60</v>
      </c>
    </row>
    <row r="91" spans="1:11">
      <c r="A91" t="s">
        <v>0</v>
      </c>
      <c r="B91">
        <v>5</v>
      </c>
      <c r="C91" t="s">
        <v>1</v>
      </c>
      <c r="D91" t="s">
        <v>60</v>
      </c>
      <c r="E91" t="s">
        <v>3</v>
      </c>
      <c r="F91">
        <v>0</v>
      </c>
      <c r="G91">
        <v>20260225</v>
      </c>
      <c r="H91" t="s">
        <v>101</v>
      </c>
      <c r="I91">
        <v>85</v>
      </c>
      <c r="J91">
        <v>75</v>
      </c>
      <c r="K91">
        <v>80</v>
      </c>
    </row>
    <row r="92" spans="1:11">
      <c r="A92" t="s">
        <v>0</v>
      </c>
      <c r="B92">
        <v>5</v>
      </c>
      <c r="C92" t="s">
        <v>1</v>
      </c>
      <c r="D92" t="s">
        <v>60</v>
      </c>
      <c r="E92" t="s">
        <v>3</v>
      </c>
      <c r="F92">
        <v>1</v>
      </c>
      <c r="G92">
        <v>20260225</v>
      </c>
      <c r="H92" t="s">
        <v>102</v>
      </c>
      <c r="I92">
        <v>70</v>
      </c>
      <c r="J92">
        <v>65</v>
      </c>
      <c r="K92">
        <v>68</v>
      </c>
    </row>
    <row r="93" spans="1:11">
      <c r="A93" t="s">
        <v>0</v>
      </c>
      <c r="B93">
        <v>5</v>
      </c>
      <c r="C93" t="s">
        <v>1</v>
      </c>
      <c r="D93" t="s">
        <v>60</v>
      </c>
      <c r="E93" t="s">
        <v>3</v>
      </c>
      <c r="F93">
        <v>2</v>
      </c>
      <c r="G93">
        <v>20260225</v>
      </c>
      <c r="H93" t="s">
        <v>103</v>
      </c>
      <c r="I93">
        <v>70</v>
      </c>
      <c r="J93">
        <v>60</v>
      </c>
      <c r="K93">
        <v>65</v>
      </c>
    </row>
    <row r="94" spans="1:11">
      <c r="A94" t="s">
        <v>0</v>
      </c>
      <c r="B94">
        <v>5</v>
      </c>
      <c r="C94" t="s">
        <v>1</v>
      </c>
      <c r="D94" t="s">
        <v>60</v>
      </c>
      <c r="E94" t="s">
        <v>3</v>
      </c>
      <c r="F94">
        <v>3</v>
      </c>
      <c r="G94">
        <v>20260225</v>
      </c>
      <c r="H94" t="s">
        <v>104</v>
      </c>
      <c r="I94">
        <v>80</v>
      </c>
      <c r="J94">
        <v>65</v>
      </c>
      <c r="K94">
        <v>70</v>
      </c>
    </row>
    <row r="95" spans="1:11">
      <c r="A95" t="s">
        <v>0</v>
      </c>
      <c r="B95">
        <v>5</v>
      </c>
      <c r="C95" t="s">
        <v>1</v>
      </c>
      <c r="D95" t="s">
        <v>60</v>
      </c>
      <c r="E95" t="s">
        <v>3</v>
      </c>
      <c r="F95">
        <v>4</v>
      </c>
      <c r="G95">
        <v>20260225</v>
      </c>
      <c r="H95" t="s">
        <v>105</v>
      </c>
      <c r="I95">
        <v>85</v>
      </c>
      <c r="J95">
        <v>65</v>
      </c>
      <c r="K95">
        <v>70</v>
      </c>
    </row>
    <row r="96" spans="1:11">
      <c r="A96" t="s">
        <v>0</v>
      </c>
      <c r="B96">
        <v>5</v>
      </c>
      <c r="C96" t="s">
        <v>1</v>
      </c>
      <c r="D96" t="s">
        <v>60</v>
      </c>
      <c r="E96" t="s">
        <v>3</v>
      </c>
      <c r="F96">
        <v>5</v>
      </c>
      <c r="G96">
        <v>20260225</v>
      </c>
      <c r="H96" t="s">
        <v>106</v>
      </c>
      <c r="I96">
        <v>80</v>
      </c>
      <c r="J96">
        <v>70</v>
      </c>
      <c r="K96">
        <v>75</v>
      </c>
    </row>
    <row r="97" spans="1:11">
      <c r="A97" t="s">
        <v>0</v>
      </c>
      <c r="B97">
        <v>5</v>
      </c>
      <c r="C97" t="s">
        <v>1</v>
      </c>
      <c r="D97" t="s">
        <v>60</v>
      </c>
      <c r="E97" t="s">
        <v>3</v>
      </c>
      <c r="F97">
        <v>6</v>
      </c>
      <c r="G97">
        <v>20260225</v>
      </c>
      <c r="H97" t="s">
        <v>107</v>
      </c>
      <c r="I97">
        <v>85</v>
      </c>
      <c r="J97">
        <v>75</v>
      </c>
      <c r="K97">
        <v>80</v>
      </c>
    </row>
    <row r="98" spans="1:11">
      <c r="A98" t="s">
        <v>0</v>
      </c>
      <c r="B98">
        <v>5</v>
      </c>
      <c r="C98" t="s">
        <v>1</v>
      </c>
      <c r="D98" t="s">
        <v>60</v>
      </c>
      <c r="E98" t="s">
        <v>3</v>
      </c>
      <c r="F98">
        <v>7</v>
      </c>
      <c r="G98">
        <v>20260225</v>
      </c>
      <c r="H98" t="s">
        <v>108</v>
      </c>
      <c r="I98">
        <v>85</v>
      </c>
      <c r="J98">
        <v>70</v>
      </c>
      <c r="K98">
        <v>75</v>
      </c>
    </row>
    <row r="99" spans="1:11">
      <c r="A99" t="s">
        <v>0</v>
      </c>
      <c r="B99">
        <v>5</v>
      </c>
      <c r="C99" t="s">
        <v>1</v>
      </c>
      <c r="D99" t="s">
        <v>60</v>
      </c>
      <c r="E99" t="s">
        <v>3</v>
      </c>
      <c r="F99">
        <v>8</v>
      </c>
      <c r="G99">
        <v>20260225</v>
      </c>
      <c r="H99" t="s">
        <v>109</v>
      </c>
      <c r="I99">
        <v>85</v>
      </c>
      <c r="J99">
        <v>70</v>
      </c>
      <c r="K99">
        <v>75</v>
      </c>
    </row>
    <row r="100" spans="1:11">
      <c r="A100" t="s">
        <v>0</v>
      </c>
      <c r="B100">
        <v>5</v>
      </c>
      <c r="C100" t="s">
        <v>1</v>
      </c>
      <c r="D100" t="s">
        <v>60</v>
      </c>
      <c r="E100" t="s">
        <v>3</v>
      </c>
      <c r="F100">
        <v>9</v>
      </c>
      <c r="G100">
        <v>20260225</v>
      </c>
      <c r="H100" t="s">
        <v>110</v>
      </c>
      <c r="I100">
        <v>78</v>
      </c>
      <c r="J100">
        <v>65</v>
      </c>
      <c r="K100">
        <v>70</v>
      </c>
    </row>
    <row r="101" spans="1:11">
      <c r="A101" t="s">
        <v>0</v>
      </c>
      <c r="B101">
        <v>1</v>
      </c>
      <c r="C101" t="s">
        <v>1</v>
      </c>
      <c r="D101" t="s">
        <v>111</v>
      </c>
      <c r="E101" t="s">
        <v>3</v>
      </c>
      <c r="F101">
        <v>0</v>
      </c>
      <c r="G101">
        <v>20260225</v>
      </c>
      <c r="H101" t="s">
        <v>112</v>
      </c>
      <c r="I101">
        <v>75</v>
      </c>
      <c r="J101">
        <v>60</v>
      </c>
      <c r="K101">
        <v>70</v>
      </c>
    </row>
    <row r="102" spans="1:11">
      <c r="A102" t="s">
        <v>0</v>
      </c>
      <c r="B102">
        <v>1</v>
      </c>
      <c r="C102" t="s">
        <v>1</v>
      </c>
      <c r="D102" t="s">
        <v>111</v>
      </c>
      <c r="E102" t="s">
        <v>3</v>
      </c>
      <c r="F102">
        <v>1</v>
      </c>
      <c r="G102">
        <v>20260225</v>
      </c>
      <c r="H102" t="s">
        <v>113</v>
      </c>
      <c r="I102">
        <v>78</v>
      </c>
      <c r="J102">
        <v>65</v>
      </c>
      <c r="K102">
        <v>70</v>
      </c>
    </row>
    <row r="103" spans="1:11">
      <c r="A103" t="s">
        <v>0</v>
      </c>
      <c r="B103">
        <v>1</v>
      </c>
      <c r="C103" t="s">
        <v>1</v>
      </c>
      <c r="D103" t="s">
        <v>111</v>
      </c>
      <c r="E103" t="s">
        <v>3</v>
      </c>
      <c r="F103">
        <v>2</v>
      </c>
      <c r="G103">
        <v>20260225</v>
      </c>
      <c r="H103" t="s">
        <v>114</v>
      </c>
      <c r="I103">
        <v>80</v>
      </c>
      <c r="J103">
        <v>70</v>
      </c>
      <c r="K103">
        <v>75</v>
      </c>
    </row>
    <row r="104" spans="1:11">
      <c r="A104" t="s">
        <v>0</v>
      </c>
      <c r="B104">
        <v>1</v>
      </c>
      <c r="C104" t="s">
        <v>1</v>
      </c>
      <c r="D104" t="s">
        <v>111</v>
      </c>
      <c r="E104" t="s">
        <v>3</v>
      </c>
      <c r="F104">
        <v>3</v>
      </c>
      <c r="G104">
        <v>20260225</v>
      </c>
      <c r="H104" t="s">
        <v>115</v>
      </c>
      <c r="I104">
        <v>85</v>
      </c>
      <c r="J104">
        <v>88</v>
      </c>
      <c r="K104">
        <v>90</v>
      </c>
    </row>
    <row r="105" spans="1:11">
      <c r="A105" t="s">
        <v>0</v>
      </c>
      <c r="B105">
        <v>1</v>
      </c>
      <c r="C105" t="s">
        <v>1</v>
      </c>
      <c r="D105" t="s">
        <v>111</v>
      </c>
      <c r="E105" t="s">
        <v>3</v>
      </c>
      <c r="F105">
        <v>4</v>
      </c>
      <c r="G105">
        <v>20260225</v>
      </c>
      <c r="H105" t="s">
        <v>116</v>
      </c>
      <c r="I105">
        <v>75</v>
      </c>
      <c r="J105">
        <v>70</v>
      </c>
      <c r="K105">
        <v>68</v>
      </c>
    </row>
    <row r="106" spans="1:11">
      <c r="A106" t="s">
        <v>0</v>
      </c>
      <c r="B106">
        <v>1</v>
      </c>
      <c r="C106" t="s">
        <v>1</v>
      </c>
      <c r="D106" t="s">
        <v>111</v>
      </c>
      <c r="E106" t="s">
        <v>3</v>
      </c>
      <c r="F106">
        <v>5</v>
      </c>
      <c r="G106">
        <v>20260225</v>
      </c>
      <c r="H106" t="s">
        <v>117</v>
      </c>
      <c r="I106">
        <v>78</v>
      </c>
      <c r="J106">
        <v>62</v>
      </c>
      <c r="K106">
        <v>70</v>
      </c>
    </row>
    <row r="107" spans="1:11">
      <c r="A107" t="s">
        <v>0</v>
      </c>
      <c r="B107">
        <v>1</v>
      </c>
      <c r="C107" t="s">
        <v>1</v>
      </c>
      <c r="D107" t="s">
        <v>111</v>
      </c>
      <c r="E107" t="s">
        <v>3</v>
      </c>
      <c r="F107">
        <v>6</v>
      </c>
      <c r="G107">
        <v>20260225</v>
      </c>
      <c r="H107" t="s">
        <v>118</v>
      </c>
      <c r="I107">
        <v>85</v>
      </c>
      <c r="J107">
        <v>75</v>
      </c>
      <c r="K107">
        <v>80</v>
      </c>
    </row>
    <row r="108" spans="1:11">
      <c r="A108" t="s">
        <v>0</v>
      </c>
      <c r="B108">
        <v>1</v>
      </c>
      <c r="C108" t="s">
        <v>1</v>
      </c>
      <c r="D108" t="s">
        <v>111</v>
      </c>
      <c r="E108" t="s">
        <v>3</v>
      </c>
      <c r="F108">
        <v>7</v>
      </c>
      <c r="G108">
        <v>20260225</v>
      </c>
      <c r="H108" t="s">
        <v>119</v>
      </c>
      <c r="I108">
        <v>60</v>
      </c>
      <c r="J108">
        <v>55</v>
      </c>
      <c r="K108">
        <v>58</v>
      </c>
    </row>
    <row r="109" spans="1:11">
      <c r="A109" t="s">
        <v>0</v>
      </c>
      <c r="B109">
        <v>1</v>
      </c>
      <c r="C109" t="s">
        <v>1</v>
      </c>
      <c r="D109" t="s">
        <v>111</v>
      </c>
      <c r="E109" t="s">
        <v>3</v>
      </c>
      <c r="F109">
        <v>8</v>
      </c>
      <c r="G109">
        <v>20260225</v>
      </c>
      <c r="H109" t="s">
        <v>120</v>
      </c>
      <c r="I109">
        <v>85</v>
      </c>
      <c r="J109">
        <v>80</v>
      </c>
      <c r="K109">
        <v>80</v>
      </c>
    </row>
    <row r="110" spans="1:11">
      <c r="A110" t="s">
        <v>0</v>
      </c>
      <c r="B110">
        <v>1</v>
      </c>
      <c r="C110" t="s">
        <v>1</v>
      </c>
      <c r="D110" t="s">
        <v>111</v>
      </c>
      <c r="E110" t="s">
        <v>3</v>
      </c>
      <c r="F110">
        <v>9</v>
      </c>
      <c r="G110">
        <v>20260225</v>
      </c>
      <c r="H110" t="s">
        <v>121</v>
      </c>
      <c r="I110">
        <v>85</v>
      </c>
      <c r="J110">
        <v>65</v>
      </c>
      <c r="K110">
        <v>70</v>
      </c>
    </row>
    <row r="111" spans="1:11">
      <c r="A111" t="s">
        <v>0</v>
      </c>
      <c r="B111">
        <v>2</v>
      </c>
      <c r="C111" t="s">
        <v>1</v>
      </c>
      <c r="D111" t="s">
        <v>111</v>
      </c>
      <c r="E111" t="s">
        <v>3</v>
      </c>
      <c r="F111">
        <v>0</v>
      </c>
      <c r="G111">
        <v>20260225</v>
      </c>
      <c r="H111" t="s">
        <v>122</v>
      </c>
      <c r="I111">
        <v>85</v>
      </c>
      <c r="J111">
        <v>70</v>
      </c>
      <c r="K111">
        <v>75</v>
      </c>
    </row>
    <row r="112" spans="1:11">
      <c r="A112" t="s">
        <v>0</v>
      </c>
      <c r="B112">
        <v>2</v>
      </c>
      <c r="C112" t="s">
        <v>1</v>
      </c>
      <c r="D112" t="s">
        <v>111</v>
      </c>
      <c r="E112" t="s">
        <v>3</v>
      </c>
      <c r="F112">
        <v>1</v>
      </c>
      <c r="G112">
        <v>20260225</v>
      </c>
      <c r="H112" t="s">
        <v>123</v>
      </c>
      <c r="I112">
        <v>92</v>
      </c>
      <c r="J112">
        <v>84</v>
      </c>
      <c r="K112">
        <v>88</v>
      </c>
    </row>
    <row r="113" spans="1:11">
      <c r="A113" t="s">
        <v>0</v>
      </c>
      <c r="B113">
        <v>2</v>
      </c>
      <c r="C113" t="s">
        <v>1</v>
      </c>
      <c r="D113" t="s">
        <v>111</v>
      </c>
      <c r="E113" t="s">
        <v>3</v>
      </c>
      <c r="F113">
        <v>2</v>
      </c>
      <c r="G113">
        <v>20260225</v>
      </c>
      <c r="H113" t="s">
        <v>124</v>
      </c>
      <c r="I113">
        <v>80</v>
      </c>
      <c r="J113">
        <v>75</v>
      </c>
      <c r="K113">
        <v>80</v>
      </c>
    </row>
    <row r="114" spans="1:11">
      <c r="A114" t="s">
        <v>0</v>
      </c>
      <c r="B114">
        <v>2</v>
      </c>
      <c r="C114" t="s">
        <v>1</v>
      </c>
      <c r="D114" t="s">
        <v>111</v>
      </c>
      <c r="E114" t="s">
        <v>3</v>
      </c>
      <c r="F114">
        <v>3</v>
      </c>
      <c r="G114">
        <v>20260225</v>
      </c>
      <c r="H114" t="s">
        <v>125</v>
      </c>
      <c r="I114">
        <v>80</v>
      </c>
      <c r="J114">
        <v>70</v>
      </c>
      <c r="K114">
        <v>75</v>
      </c>
    </row>
    <row r="115" spans="1:11">
      <c r="A115" t="s">
        <v>0</v>
      </c>
      <c r="B115">
        <v>2</v>
      </c>
      <c r="C115" t="s">
        <v>1</v>
      </c>
      <c r="D115" t="s">
        <v>111</v>
      </c>
      <c r="E115" t="s">
        <v>3</v>
      </c>
      <c r="F115">
        <v>4</v>
      </c>
      <c r="G115">
        <v>20260225</v>
      </c>
      <c r="H115" t="s">
        <v>126</v>
      </c>
      <c r="I115">
        <v>75</v>
      </c>
      <c r="J115">
        <v>58</v>
      </c>
      <c r="K115">
        <v>60</v>
      </c>
    </row>
    <row r="116" spans="1:11">
      <c r="A116" t="s">
        <v>0</v>
      </c>
      <c r="B116">
        <v>2</v>
      </c>
      <c r="C116" t="s">
        <v>1</v>
      </c>
      <c r="D116" t="s">
        <v>111</v>
      </c>
      <c r="E116" t="s">
        <v>3</v>
      </c>
      <c r="F116">
        <v>5</v>
      </c>
      <c r="G116">
        <v>20260225</v>
      </c>
      <c r="H116" t="s">
        <v>127</v>
      </c>
      <c r="I116">
        <v>75</v>
      </c>
      <c r="J116">
        <v>70</v>
      </c>
      <c r="K116">
        <v>68</v>
      </c>
    </row>
    <row r="117" spans="1:11">
      <c r="A117" t="s">
        <v>0</v>
      </c>
      <c r="B117">
        <v>2</v>
      </c>
      <c r="C117" t="s">
        <v>1</v>
      </c>
      <c r="D117" t="s">
        <v>111</v>
      </c>
      <c r="E117" t="s">
        <v>3</v>
      </c>
      <c r="F117">
        <v>6</v>
      </c>
      <c r="G117">
        <v>20260225</v>
      </c>
      <c r="H117" t="s">
        <v>128</v>
      </c>
      <c r="I117">
        <v>70</v>
      </c>
      <c r="J117">
        <v>55</v>
      </c>
      <c r="K117">
        <v>60</v>
      </c>
    </row>
    <row r="118" spans="1:11">
      <c r="A118" t="s">
        <v>0</v>
      </c>
      <c r="B118">
        <v>2</v>
      </c>
      <c r="C118" t="s">
        <v>1</v>
      </c>
      <c r="D118" t="s">
        <v>111</v>
      </c>
      <c r="E118" t="s">
        <v>3</v>
      </c>
      <c r="F118">
        <v>7</v>
      </c>
      <c r="G118">
        <v>20260225</v>
      </c>
      <c r="H118" t="s">
        <v>129</v>
      </c>
      <c r="I118">
        <v>85</v>
      </c>
      <c r="J118">
        <v>75</v>
      </c>
      <c r="K118">
        <v>80</v>
      </c>
    </row>
    <row r="119" spans="1:11">
      <c r="A119" t="s">
        <v>0</v>
      </c>
      <c r="B119">
        <v>2</v>
      </c>
      <c r="C119" t="s">
        <v>1</v>
      </c>
      <c r="D119" t="s">
        <v>111</v>
      </c>
      <c r="E119" t="s">
        <v>3</v>
      </c>
      <c r="F119">
        <v>8</v>
      </c>
      <c r="G119">
        <v>20260225</v>
      </c>
      <c r="H119" t="s">
        <v>130</v>
      </c>
      <c r="I119">
        <v>70</v>
      </c>
      <c r="J119">
        <v>60</v>
      </c>
      <c r="K119">
        <v>65</v>
      </c>
    </row>
    <row r="120" spans="1:11">
      <c r="A120" t="s">
        <v>0</v>
      </c>
      <c r="B120">
        <v>2</v>
      </c>
      <c r="C120" t="s">
        <v>1</v>
      </c>
      <c r="D120" t="s">
        <v>111</v>
      </c>
      <c r="E120" t="s">
        <v>3</v>
      </c>
      <c r="F120">
        <v>9</v>
      </c>
      <c r="G120">
        <v>20260225</v>
      </c>
      <c r="H120" t="s">
        <v>131</v>
      </c>
      <c r="I120">
        <v>80</v>
      </c>
      <c r="J120">
        <v>70</v>
      </c>
      <c r="K120">
        <v>75</v>
      </c>
    </row>
    <row r="121" spans="1:11">
      <c r="A121" t="s">
        <v>0</v>
      </c>
      <c r="B121">
        <v>3</v>
      </c>
      <c r="C121" t="s">
        <v>1</v>
      </c>
      <c r="D121" t="s">
        <v>111</v>
      </c>
      <c r="E121" t="s">
        <v>3</v>
      </c>
      <c r="F121">
        <v>0</v>
      </c>
      <c r="G121">
        <v>20260225</v>
      </c>
      <c r="H121" t="s">
        <v>132</v>
      </c>
      <c r="I121">
        <v>80</v>
      </c>
      <c r="J121">
        <v>70</v>
      </c>
      <c r="K121">
        <v>75</v>
      </c>
    </row>
    <row r="122" spans="1:11">
      <c r="A122" t="s">
        <v>0</v>
      </c>
      <c r="B122">
        <v>3</v>
      </c>
      <c r="C122" t="s">
        <v>1</v>
      </c>
      <c r="D122" t="s">
        <v>111</v>
      </c>
      <c r="E122" t="s">
        <v>3</v>
      </c>
      <c r="F122">
        <v>1</v>
      </c>
      <c r="G122">
        <v>20260225</v>
      </c>
      <c r="H122" t="s">
        <v>133</v>
      </c>
      <c r="I122">
        <v>80</v>
      </c>
      <c r="J122">
        <v>60</v>
      </c>
      <c r="K122">
        <v>70</v>
      </c>
    </row>
    <row r="123" spans="1:11">
      <c r="A123" t="s">
        <v>0</v>
      </c>
      <c r="B123">
        <v>3</v>
      </c>
      <c r="C123" t="s">
        <v>1</v>
      </c>
      <c r="D123" t="s">
        <v>111</v>
      </c>
      <c r="E123" t="s">
        <v>3</v>
      </c>
      <c r="F123">
        <v>2</v>
      </c>
      <c r="G123">
        <v>20260225</v>
      </c>
      <c r="H123" t="s">
        <v>134</v>
      </c>
      <c r="I123">
        <v>80</v>
      </c>
      <c r="J123">
        <v>70</v>
      </c>
      <c r="K123">
        <v>75</v>
      </c>
    </row>
    <row r="124" spans="1:11">
      <c r="A124" t="s">
        <v>0</v>
      </c>
      <c r="B124">
        <v>3</v>
      </c>
      <c r="C124" t="s">
        <v>1</v>
      </c>
      <c r="D124" t="s">
        <v>111</v>
      </c>
      <c r="E124" t="s">
        <v>3</v>
      </c>
      <c r="F124">
        <v>3</v>
      </c>
      <c r="G124">
        <v>20260225</v>
      </c>
      <c r="H124" t="s">
        <v>135</v>
      </c>
      <c r="I124">
        <v>85</v>
      </c>
      <c r="J124">
        <v>75</v>
      </c>
      <c r="K124">
        <v>80</v>
      </c>
    </row>
    <row r="125" spans="1:11">
      <c r="A125" t="s">
        <v>0</v>
      </c>
      <c r="B125">
        <v>3</v>
      </c>
      <c r="C125" t="s">
        <v>1</v>
      </c>
      <c r="D125" t="s">
        <v>111</v>
      </c>
      <c r="E125" t="s">
        <v>3</v>
      </c>
      <c r="F125">
        <v>4</v>
      </c>
      <c r="G125">
        <v>20260225</v>
      </c>
      <c r="H125" t="s">
        <v>136</v>
      </c>
      <c r="I125">
        <v>85</v>
      </c>
      <c r="J125">
        <v>78</v>
      </c>
      <c r="K125">
        <v>80</v>
      </c>
    </row>
    <row r="126" spans="1:11">
      <c r="A126" t="s">
        <v>0</v>
      </c>
      <c r="B126">
        <v>3</v>
      </c>
      <c r="C126" t="s">
        <v>1</v>
      </c>
      <c r="D126" t="s">
        <v>111</v>
      </c>
      <c r="E126" t="s">
        <v>3</v>
      </c>
      <c r="F126">
        <v>5</v>
      </c>
      <c r="G126">
        <v>20260225</v>
      </c>
      <c r="H126" t="s">
        <v>137</v>
      </c>
      <c r="I126">
        <v>70</v>
      </c>
      <c r="J126">
        <v>55</v>
      </c>
      <c r="K126">
        <v>60</v>
      </c>
    </row>
    <row r="127" spans="1:11">
      <c r="A127" t="s">
        <v>0</v>
      </c>
      <c r="B127">
        <v>3</v>
      </c>
      <c r="C127" t="s">
        <v>1</v>
      </c>
      <c r="D127" t="s">
        <v>111</v>
      </c>
      <c r="E127" t="s">
        <v>3</v>
      </c>
      <c r="F127">
        <v>6</v>
      </c>
      <c r="G127">
        <v>20260225</v>
      </c>
      <c r="H127" t="s">
        <v>138</v>
      </c>
      <c r="I127">
        <v>80</v>
      </c>
      <c r="J127">
        <v>70</v>
      </c>
      <c r="K127">
        <v>75</v>
      </c>
    </row>
    <row r="128" spans="1:11">
      <c r="A128" t="s">
        <v>0</v>
      </c>
      <c r="B128">
        <v>3</v>
      </c>
      <c r="C128" t="s">
        <v>1</v>
      </c>
      <c r="D128" t="s">
        <v>111</v>
      </c>
      <c r="E128" t="s">
        <v>3</v>
      </c>
      <c r="F128">
        <v>7</v>
      </c>
      <c r="G128">
        <v>20260225</v>
      </c>
      <c r="H128" t="s">
        <v>139</v>
      </c>
      <c r="I128">
        <v>70</v>
      </c>
      <c r="J128">
        <v>60</v>
      </c>
      <c r="K128">
        <v>65</v>
      </c>
    </row>
    <row r="129" spans="1:11">
      <c r="A129" t="s">
        <v>0</v>
      </c>
      <c r="B129">
        <v>3</v>
      </c>
      <c r="C129" t="s">
        <v>1</v>
      </c>
      <c r="D129" t="s">
        <v>111</v>
      </c>
      <c r="E129" t="s">
        <v>3</v>
      </c>
      <c r="F129">
        <v>8</v>
      </c>
      <c r="G129">
        <v>20260225</v>
      </c>
      <c r="H129" t="s">
        <v>140</v>
      </c>
      <c r="I129">
        <v>70</v>
      </c>
      <c r="J129">
        <v>55</v>
      </c>
      <c r="K129">
        <v>60</v>
      </c>
    </row>
    <row r="130" spans="1:11">
      <c r="A130" t="s">
        <v>0</v>
      </c>
      <c r="B130">
        <v>3</v>
      </c>
      <c r="C130" t="s">
        <v>1</v>
      </c>
      <c r="D130" t="s">
        <v>111</v>
      </c>
      <c r="E130" t="s">
        <v>3</v>
      </c>
      <c r="F130">
        <v>9</v>
      </c>
      <c r="G130">
        <v>20260225</v>
      </c>
      <c r="H130" t="s">
        <v>141</v>
      </c>
      <c r="I130">
        <v>85</v>
      </c>
      <c r="J130">
        <v>70</v>
      </c>
      <c r="K130">
        <v>75</v>
      </c>
    </row>
    <row r="131" spans="1:11">
      <c r="A131" t="s">
        <v>0</v>
      </c>
      <c r="B131">
        <v>4</v>
      </c>
      <c r="C131" t="s">
        <v>1</v>
      </c>
      <c r="D131" t="s">
        <v>111</v>
      </c>
      <c r="E131" t="s">
        <v>3</v>
      </c>
      <c r="F131">
        <v>0</v>
      </c>
      <c r="G131">
        <v>20260225</v>
      </c>
      <c r="H131" t="s">
        <v>142</v>
      </c>
      <c r="I131">
        <v>85</v>
      </c>
      <c r="J131">
        <v>75</v>
      </c>
      <c r="K131">
        <v>80</v>
      </c>
    </row>
    <row r="132" spans="1:11">
      <c r="A132" t="s">
        <v>0</v>
      </c>
      <c r="B132">
        <v>4</v>
      </c>
      <c r="C132" t="s">
        <v>1</v>
      </c>
      <c r="D132" t="s">
        <v>111</v>
      </c>
      <c r="E132" t="s">
        <v>3</v>
      </c>
      <c r="F132">
        <v>1</v>
      </c>
      <c r="G132">
        <v>20260225</v>
      </c>
      <c r="H132" t="s">
        <v>143</v>
      </c>
      <c r="I132">
        <v>85</v>
      </c>
      <c r="J132">
        <v>78</v>
      </c>
      <c r="K132">
        <v>80</v>
      </c>
    </row>
    <row r="133" spans="1:11">
      <c r="A133" t="s">
        <v>0</v>
      </c>
      <c r="B133">
        <v>4</v>
      </c>
      <c r="C133" t="s">
        <v>1</v>
      </c>
      <c r="D133" t="s">
        <v>111</v>
      </c>
      <c r="E133" t="s">
        <v>3</v>
      </c>
      <c r="F133">
        <v>2</v>
      </c>
      <c r="G133">
        <v>20260225</v>
      </c>
      <c r="H133" t="s">
        <v>144</v>
      </c>
      <c r="I133">
        <v>75</v>
      </c>
      <c r="J133">
        <v>68</v>
      </c>
      <c r="K133">
        <v>70</v>
      </c>
    </row>
    <row r="134" spans="1:11">
      <c r="A134" t="s">
        <v>0</v>
      </c>
      <c r="B134">
        <v>4</v>
      </c>
      <c r="C134" t="s">
        <v>1</v>
      </c>
      <c r="D134" t="s">
        <v>111</v>
      </c>
      <c r="E134" t="s">
        <v>3</v>
      </c>
      <c r="F134">
        <v>3</v>
      </c>
      <c r="G134">
        <v>20260225</v>
      </c>
      <c r="H134" t="s">
        <v>145</v>
      </c>
      <c r="I134">
        <v>78</v>
      </c>
      <c r="J134">
        <v>68</v>
      </c>
      <c r="K134">
        <v>70</v>
      </c>
    </row>
    <row r="135" spans="1:11">
      <c r="A135" t="s">
        <v>0</v>
      </c>
      <c r="B135">
        <v>4</v>
      </c>
      <c r="C135" t="s">
        <v>1</v>
      </c>
      <c r="D135" t="s">
        <v>111</v>
      </c>
      <c r="E135" t="s">
        <v>3</v>
      </c>
      <c r="F135">
        <v>4</v>
      </c>
      <c r="G135">
        <v>20260225</v>
      </c>
      <c r="H135" t="s">
        <v>146</v>
      </c>
      <c r="I135">
        <v>65</v>
      </c>
      <c r="J135">
        <v>55</v>
      </c>
      <c r="K135">
        <v>60</v>
      </c>
    </row>
    <row r="136" spans="1:11">
      <c r="A136" t="s">
        <v>0</v>
      </c>
      <c r="B136">
        <v>4</v>
      </c>
      <c r="C136" t="s">
        <v>1</v>
      </c>
      <c r="D136" t="s">
        <v>111</v>
      </c>
      <c r="E136" t="s">
        <v>3</v>
      </c>
      <c r="F136">
        <v>5</v>
      </c>
      <c r="G136">
        <v>20260225</v>
      </c>
      <c r="H136" t="s">
        <v>147</v>
      </c>
      <c r="I136">
        <v>70</v>
      </c>
      <c r="J136">
        <v>60</v>
      </c>
      <c r="K136">
        <v>65</v>
      </c>
    </row>
    <row r="137" spans="1:11">
      <c r="A137" t="s">
        <v>0</v>
      </c>
      <c r="B137">
        <v>4</v>
      </c>
      <c r="C137" t="s">
        <v>1</v>
      </c>
      <c r="D137" t="s">
        <v>111</v>
      </c>
      <c r="E137" t="s">
        <v>3</v>
      </c>
      <c r="F137">
        <v>6</v>
      </c>
      <c r="G137">
        <v>20260225</v>
      </c>
      <c r="H137" t="s">
        <v>148</v>
      </c>
      <c r="I137">
        <v>85</v>
      </c>
      <c r="J137">
        <v>70</v>
      </c>
      <c r="K137">
        <v>80</v>
      </c>
    </row>
    <row r="138" spans="1:11">
      <c r="A138" t="s">
        <v>0</v>
      </c>
      <c r="B138">
        <v>4</v>
      </c>
      <c r="C138" t="s">
        <v>1</v>
      </c>
      <c r="D138" t="s">
        <v>111</v>
      </c>
      <c r="E138" t="s">
        <v>3</v>
      </c>
      <c r="F138">
        <v>7</v>
      </c>
      <c r="G138">
        <v>20260225</v>
      </c>
      <c r="H138" t="s">
        <v>149</v>
      </c>
      <c r="I138">
        <v>75</v>
      </c>
      <c r="J138">
        <v>68</v>
      </c>
      <c r="K138">
        <v>70</v>
      </c>
    </row>
    <row r="139" spans="1:11">
      <c r="A139" t="s">
        <v>0</v>
      </c>
      <c r="B139">
        <v>4</v>
      </c>
      <c r="C139" t="s">
        <v>1</v>
      </c>
      <c r="D139" t="s">
        <v>111</v>
      </c>
      <c r="E139" t="s">
        <v>3</v>
      </c>
      <c r="F139">
        <v>8</v>
      </c>
      <c r="G139">
        <v>20260225</v>
      </c>
      <c r="H139" t="s">
        <v>150</v>
      </c>
      <c r="I139">
        <v>70</v>
      </c>
      <c r="J139">
        <v>65</v>
      </c>
      <c r="K139">
        <v>68</v>
      </c>
    </row>
    <row r="140" spans="1:11">
      <c r="A140" t="s">
        <v>0</v>
      </c>
      <c r="B140">
        <v>4</v>
      </c>
      <c r="C140" t="s">
        <v>1</v>
      </c>
      <c r="D140" t="s">
        <v>111</v>
      </c>
      <c r="E140" t="s">
        <v>3</v>
      </c>
      <c r="F140">
        <v>9</v>
      </c>
      <c r="G140">
        <v>20260225</v>
      </c>
      <c r="H140" t="s">
        <v>151</v>
      </c>
      <c r="I140">
        <v>70</v>
      </c>
      <c r="J140">
        <v>65</v>
      </c>
      <c r="K140">
        <v>68</v>
      </c>
    </row>
    <row r="141" spans="1:11">
      <c r="A141" t="s">
        <v>0</v>
      </c>
      <c r="B141">
        <v>5</v>
      </c>
      <c r="C141" t="s">
        <v>1</v>
      </c>
      <c r="D141" t="s">
        <v>111</v>
      </c>
      <c r="E141" t="s">
        <v>3</v>
      </c>
      <c r="F141">
        <v>0</v>
      </c>
      <c r="G141">
        <v>20260225</v>
      </c>
      <c r="H141" t="s">
        <v>152</v>
      </c>
      <c r="I141">
        <v>78</v>
      </c>
      <c r="J141">
        <v>85</v>
      </c>
      <c r="K141">
        <v>80</v>
      </c>
    </row>
    <row r="142" spans="1:11">
      <c r="A142" t="s">
        <v>0</v>
      </c>
      <c r="B142">
        <v>5</v>
      </c>
      <c r="C142" t="s">
        <v>1</v>
      </c>
      <c r="D142" t="s">
        <v>111</v>
      </c>
      <c r="E142" t="s">
        <v>3</v>
      </c>
      <c r="F142">
        <v>1</v>
      </c>
      <c r="G142">
        <v>20260225</v>
      </c>
      <c r="H142" t="s">
        <v>153</v>
      </c>
      <c r="I142">
        <v>80</v>
      </c>
      <c r="J142">
        <v>70</v>
      </c>
      <c r="K142">
        <v>75</v>
      </c>
    </row>
    <row r="143" spans="1:11">
      <c r="A143" t="s">
        <v>0</v>
      </c>
      <c r="B143">
        <v>5</v>
      </c>
      <c r="C143" t="s">
        <v>1</v>
      </c>
      <c r="D143" t="s">
        <v>111</v>
      </c>
      <c r="E143" t="s">
        <v>3</v>
      </c>
      <c r="F143">
        <v>2</v>
      </c>
      <c r="G143">
        <v>20260225</v>
      </c>
      <c r="H143" t="s">
        <v>154</v>
      </c>
      <c r="I143">
        <v>85</v>
      </c>
      <c r="J143">
        <v>75</v>
      </c>
      <c r="K143">
        <v>80</v>
      </c>
    </row>
    <row r="144" spans="1:11">
      <c r="A144" t="s">
        <v>0</v>
      </c>
      <c r="B144">
        <v>5</v>
      </c>
      <c r="C144" t="s">
        <v>1</v>
      </c>
      <c r="D144" t="s">
        <v>111</v>
      </c>
      <c r="E144" t="s">
        <v>3</v>
      </c>
      <c r="F144">
        <v>3</v>
      </c>
      <c r="G144">
        <v>20260225</v>
      </c>
      <c r="H144" t="s">
        <v>155</v>
      </c>
      <c r="I144">
        <v>65</v>
      </c>
      <c r="J144">
        <v>60</v>
      </c>
      <c r="K144">
        <v>70</v>
      </c>
    </row>
    <row r="145" spans="1:11">
      <c r="A145" t="s">
        <v>0</v>
      </c>
      <c r="B145">
        <v>5</v>
      </c>
      <c r="C145" t="s">
        <v>1</v>
      </c>
      <c r="D145" t="s">
        <v>111</v>
      </c>
      <c r="E145" t="s">
        <v>3</v>
      </c>
      <c r="F145">
        <v>4</v>
      </c>
      <c r="G145">
        <v>20260225</v>
      </c>
      <c r="H145" t="s">
        <v>156</v>
      </c>
      <c r="I145">
        <v>73</v>
      </c>
      <c r="J145">
        <v>55</v>
      </c>
      <c r="K145">
        <v>60</v>
      </c>
    </row>
    <row r="146" spans="1:11">
      <c r="A146" t="s">
        <v>0</v>
      </c>
      <c r="B146">
        <v>5</v>
      </c>
      <c r="C146" t="s">
        <v>1</v>
      </c>
      <c r="D146" t="s">
        <v>111</v>
      </c>
      <c r="E146" t="s">
        <v>3</v>
      </c>
      <c r="F146">
        <v>5</v>
      </c>
      <c r="G146">
        <v>20260225</v>
      </c>
      <c r="H146" t="s">
        <v>157</v>
      </c>
      <c r="I146">
        <v>85</v>
      </c>
      <c r="J146">
        <v>75</v>
      </c>
      <c r="K146">
        <v>80</v>
      </c>
    </row>
    <row r="147" spans="1:11">
      <c r="A147" t="s">
        <v>0</v>
      </c>
      <c r="B147">
        <v>5</v>
      </c>
      <c r="C147" t="s">
        <v>1</v>
      </c>
      <c r="D147" t="s">
        <v>111</v>
      </c>
      <c r="E147" t="s">
        <v>3</v>
      </c>
      <c r="F147">
        <v>6</v>
      </c>
      <c r="G147">
        <v>20260225</v>
      </c>
      <c r="H147" t="s">
        <v>158</v>
      </c>
      <c r="I147">
        <v>85</v>
      </c>
      <c r="J147">
        <v>75</v>
      </c>
      <c r="K147">
        <v>80</v>
      </c>
    </row>
    <row r="148" spans="1:11">
      <c r="A148" t="s">
        <v>0</v>
      </c>
      <c r="B148">
        <v>5</v>
      </c>
      <c r="C148" t="s">
        <v>1</v>
      </c>
      <c r="D148" t="s">
        <v>111</v>
      </c>
      <c r="E148" t="s">
        <v>3</v>
      </c>
      <c r="F148">
        <v>7</v>
      </c>
      <c r="G148">
        <v>20260225</v>
      </c>
      <c r="H148" t="s">
        <v>159</v>
      </c>
      <c r="I148">
        <v>70</v>
      </c>
      <c r="J148">
        <v>60</v>
      </c>
      <c r="K148">
        <v>65</v>
      </c>
    </row>
    <row r="149" spans="1:11">
      <c r="A149" t="s">
        <v>0</v>
      </c>
      <c r="B149">
        <v>5</v>
      </c>
      <c r="C149" t="s">
        <v>1</v>
      </c>
      <c r="D149" t="s">
        <v>111</v>
      </c>
      <c r="E149" t="s">
        <v>3</v>
      </c>
      <c r="F149">
        <v>8</v>
      </c>
      <c r="G149">
        <v>20260225</v>
      </c>
      <c r="H149" t="s">
        <v>160</v>
      </c>
      <c r="I149">
        <v>65</v>
      </c>
      <c r="J149">
        <v>55</v>
      </c>
      <c r="K149">
        <v>60</v>
      </c>
    </row>
    <row r="150" spans="1:11">
      <c r="A150" t="s">
        <v>0</v>
      </c>
      <c r="B150">
        <v>5</v>
      </c>
      <c r="C150" t="s">
        <v>1</v>
      </c>
      <c r="D150" t="s">
        <v>111</v>
      </c>
      <c r="E150" t="s">
        <v>3</v>
      </c>
      <c r="F150">
        <v>9</v>
      </c>
      <c r="G150">
        <v>20260225</v>
      </c>
      <c r="H150" t="s">
        <v>161</v>
      </c>
      <c r="I150">
        <v>85</v>
      </c>
      <c r="J150">
        <v>75</v>
      </c>
      <c r="K150">
        <v>80</v>
      </c>
    </row>
  </sheetData>
  <phoneticPr fontId="14"/>
  <pageMargins left="0" right="0" top="0.39370078740157483" bottom="0.39370078740157483" header="0" footer="0"/>
  <headerFooter>
    <oddHeader>&amp;C&amp;A</oddHeader>
    <oddFooter>&amp;Cページ &amp;P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藤野秀則</dc:creator>
  <cp:lastModifiedBy>PC0511</cp:lastModifiedBy>
  <cp:revision>1</cp:revision>
  <dcterms:created xsi:type="dcterms:W3CDTF">2026-02-27T05:09:25Z</dcterms:created>
  <dcterms:modified xsi:type="dcterms:W3CDTF">2026-02-27T09:18:42Z</dcterms:modified>
</cp:coreProperties>
</file>